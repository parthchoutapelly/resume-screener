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ject 1 - CloudGuard" sheetId="2" state="visible" r:id="rId2"/>
    <sheet name="Project 2 - VEYRA" sheetId="3" state="visible" r:id="rId3"/>
    <sheet name="Project 3 - Smart Leave" sheetId="4" state="visible" r:id="rId4"/>
    <sheet name="Project 4 - Resume Screener" sheetId="5" state="visible" r:id="rId5"/>
    <sheet name="Pricing Sources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2" pivotButton="0" quotePrefix="0" xfId="0"/>
    <xf numFmtId="0" fontId="2" fillId="3" borderId="2" pivotButton="0" quotePrefix="0" xfId="0"/>
    <xf numFmtId="164" fontId="5" fillId="3" borderId="2" applyAlignment="1" pivotButton="0" quotePrefix="0" xfId="0">
      <alignment horizontal="right"/>
    </xf>
    <xf numFmtId="0" fontId="0" fillId="3" borderId="2" pivotButton="0" quotePrefix="0" xfId="0"/>
    <xf numFmtId="0" fontId="5" fillId="4" borderId="1" pivotButton="0" quotePrefix="0" xfId="0"/>
    <xf numFmtId="0" fontId="2" fillId="4" borderId="1" pivotButton="0" quotePrefix="0" xfId="0"/>
    <xf numFmtId="164" fontId="5" fillId="4" borderId="1" applyAlignment="1" pivotButton="0" quotePrefix="0" xfId="0">
      <alignment horizontal="right"/>
    </xf>
    <xf numFmtId="0" fontId="0" fillId="4" borderId="1" pivotButton="0" quotePrefix="0" xfId="0"/>
    <xf numFmtId="0" fontId="5" fillId="0" borderId="0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5" fillId="4" borderId="2" pivotButton="0" quotePrefix="0" xfId="0"/>
    <xf numFmtId="0" fontId="2" fillId="4" borderId="2" pivotButton="0" quotePrefix="0" xfId="0"/>
    <xf numFmtId="0" fontId="0" fillId="4" borderId="2" pivotButton="0" quotePrefix="0" xfId="0"/>
    <xf numFmtId="164" fontId="5" fillId="4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6" customWidth="1" min="1" max="1"/>
    <col width="69" customWidth="1" min="2" max="2"/>
    <col width="37" customWidth="1" min="3" max="3"/>
    <col width="37" customWidth="1" min="4" max="4"/>
    <col width="37" customWidth="1" min="5" max="5"/>
    <col width="84" customWidth="1" min="6" max="6"/>
    <col width="60" customWidth="1" min="7" max="7"/>
  </cols>
  <sheetData>
    <row r="1">
      <c r="A1" s="1" t="inlineStr">
        <is>
          <t>AWS 3-Tier Cost Estimation Summary — All 4 Internship Projects</t>
        </is>
      </c>
    </row>
    <row r="2">
      <c r="A2" s="2" t="inlineStr">
        <is>
          <t>Primary Baseline: Current Deployed Architecture (Cognito Essentials) | Standard 30-Day Operational Month</t>
        </is>
      </c>
    </row>
    <row r="3"/>
    <row r="4">
      <c r="A4" s="3" t="inlineStr">
        <is>
          <t>Project Name</t>
        </is>
      </c>
      <c r="B4" s="3" t="inlineStr">
        <is>
          <t>Repository / Service</t>
        </is>
      </c>
      <c r="C4" s="4" t="inlineStr">
        <is>
          <t>Tier 1: Dev / Low</t>
        </is>
      </c>
      <c r="D4" s="4" t="inlineStr">
        <is>
          <t>Tier 2: Moderate / Team</t>
        </is>
      </c>
      <c r="E4" s="4" t="inlineStr">
        <is>
          <t>Tier 3: High Scale</t>
        </is>
      </c>
      <c r="F4" s="3" t="inlineStr">
        <is>
          <t>Primary Cost Driver</t>
        </is>
      </c>
      <c r="G4" s="3" t="inlineStr">
        <is>
          <t>Architecture Profile</t>
        </is>
      </c>
    </row>
    <row r="5">
      <c r="A5" s="5" t="inlineStr">
        <is>
          <t>Project 1: AWS Cloud Security Analyzer (docvault)</t>
        </is>
      </c>
      <c r="B5" s="5" t="inlineStr">
        <is>
          <t>employee-document-vault</t>
        </is>
      </c>
      <c r="C5" s="6">
        <f>'Project 1 - CloudGuard'!E19</f>
        <v/>
      </c>
      <c r="D5" s="6">
        <f>'Project 1 - CloudGuard'!F19</f>
        <v/>
      </c>
      <c r="E5" s="6">
        <f>'Project 1 - CloudGuard'!G19</f>
        <v/>
      </c>
      <c r="F5" s="5" t="inlineStr">
        <is>
          <t>Fixed KMS CMK ($1.00) at low scale; S3 Storage &amp; CloudWatch at scale</t>
        </is>
      </c>
      <c r="G5" s="5" t="inlineStr">
        <is>
          <t>REST API + S3 Secure Vault + DynamoDB + KMS</t>
        </is>
      </c>
    </row>
    <row r="6">
      <c r="A6" s="5" t="inlineStr">
        <is>
          <t>Project 2: Smart Employee Onboarding (VEYRA)</t>
        </is>
      </c>
      <c r="B6" s="5" t="inlineStr">
        <is>
          <t>smart-employee-onboarding</t>
        </is>
      </c>
      <c r="C6" s="6">
        <f>'Project 2 - VEYRA'!E21</f>
        <v/>
      </c>
      <c r="D6" s="6">
        <f>'Project 2 - VEYRA'!F21</f>
        <v/>
      </c>
      <c r="E6" s="6">
        <f>'Project 2 - VEYRA'!G21</f>
        <v/>
      </c>
      <c r="F6" s="5" t="inlineStr">
        <is>
          <t>Cognito Essentials MAU ($2,100.00) &amp; Step Functions transitions ($37.50) at scale</t>
        </is>
      </c>
      <c r="G6" s="5" t="inlineStr">
        <is>
          <t>REST API + Step Functions + Lambda + DynamoDB + SES</t>
        </is>
      </c>
    </row>
    <row r="7">
      <c r="A7" s="5" t="inlineStr">
        <is>
          <t>Project 3: Smart Leave &amp; Absence Management</t>
        </is>
      </c>
      <c r="B7" s="5" t="inlineStr">
        <is>
          <t>smart-leave-management</t>
        </is>
      </c>
      <c r="C7" s="6">
        <f>'Project 3 - Smart Leave'!E21</f>
        <v/>
      </c>
      <c r="D7" s="6">
        <f>'Project 3 - Smart Leave'!F21</f>
        <v/>
      </c>
      <c r="E7" s="6">
        <f>'Project 3 - Smart Leave'!G21</f>
        <v/>
      </c>
      <c r="F7" s="5" t="inlineStr">
        <is>
          <t>Secrets Manager fixed fee ($0.40) at low scale; CloudWatch &amp; SES at scale</t>
        </is>
      </c>
      <c r="G7" s="5" t="inlineStr">
        <is>
          <t>HTTP API ($1/M) + Secrets Manager + Step Functions + SES</t>
        </is>
      </c>
    </row>
    <row r="8">
      <c r="A8" s="5" t="inlineStr">
        <is>
          <t>Project 4: AI-Powered Resume Screener</t>
        </is>
      </c>
      <c r="B8" s="5" t="inlineStr">
        <is>
          <t>resume-screener</t>
        </is>
      </c>
      <c r="C8" s="6">
        <f>'Project 4 - Resume Screener'!E22</f>
        <v/>
      </c>
      <c r="D8" s="6">
        <f>'Project 4 - Resume Screener'!F22</f>
        <v/>
      </c>
      <c r="E8" s="6">
        <f>'Project 4 - Resume Screener'!G22</f>
        <v/>
      </c>
      <c r="F8" s="5" t="inlineStr">
        <is>
          <t>Lambda Container Compute (1536MB OCR/NLP: $11.06) &amp; CloudWatch Logs</t>
        </is>
      </c>
      <c r="G8" s="5" t="inlineStr">
        <is>
          <t>REST API + Container Lambda + SQS + DynamoDB + CloudFront</t>
        </is>
      </c>
    </row>
    <row r="9">
      <c r="A9" s="7" t="inlineStr">
        <is>
          <t>Portfolio Monthly Total (Current Deployed Baseline — Cognito Essentials)</t>
        </is>
      </c>
      <c r="B9" s="8" t="inlineStr">
        <is>
          <t>All 4 Projects Combined (Reflects Active Deployed Essentials Tier)</t>
        </is>
      </c>
      <c r="C9" s="9">
        <f>SUM(C5:C8)</f>
        <v/>
      </c>
      <c r="D9" s="9">
        <f>SUM(D5:D8)</f>
        <v/>
      </c>
      <c r="E9" s="9">
        <f>SUM(E5:E8)</f>
        <v/>
      </c>
      <c r="F9" s="10" t="n"/>
      <c r="G9" s="10" t="n"/>
    </row>
    <row r="10">
      <c r="A10" s="11" t="inlineStr">
        <is>
          <t>Portfolio Monthly Total (Cost-Optimized Alternative — Cognito Lite)</t>
        </is>
      </c>
      <c r="B10" s="12" t="inlineStr">
        <is>
          <t>Reflects Project 2 optimization scenario with Cognito Lite tier</t>
        </is>
      </c>
      <c r="C10" s="13">
        <f>C9</f>
        <v/>
      </c>
      <c r="D10" s="13">
        <f>D5+'Project 2 - VEYRA'!F26+D7+D8</f>
        <v/>
      </c>
      <c r="E10" s="13">
        <f>E5+'Project 2 - VEYRA'!G26+E7+E8</f>
        <v/>
      </c>
      <c r="F10" s="14" t="n"/>
      <c r="G10" s="14" t="n"/>
    </row>
    <row r="11"/>
    <row r="12">
      <c r="A12" s="15" t="inlineStr">
        <is>
          <t>Key Architectural Baseline Disclosures &amp; Notes:</t>
        </is>
      </c>
    </row>
    <row r="13">
      <c r="A13" s="2" t="inlineStr">
        <is>
          <t>1. Active Cognito Deployed Baseline: Project 2 currently uses Cognito ESSENTIALS. The LITE figures are an architectural cost-optimization scenario, not the current deployed configuration.</t>
        </is>
      </c>
    </row>
    <row r="14">
      <c r="A14" s="2" t="inlineStr">
        <is>
          <t>2. Current Deployed Baseline: Project 2 Tier 2 ($99.63) and Tier 3 ($2,315.90) reflect the live deployed Essentials tier ($0.015/MAU after 10,000 free MAUs), yielding a portfolio total of $120.55 at Tier 2 and $2,521.99 at Tier 3.</t>
        </is>
      </c>
    </row>
    <row r="15">
      <c r="A15" s="2" t="inlineStr">
        <is>
          <t>3. Cost-Optimized Alternative: Under an optimization scenario configuring Cognito UserPoolTier to Lite with 50k grandfathered free MAUs, Project 2 Tier 2 drops to $24.63 and Tier 3 drops to $765.90 (Portfolio Tier 2: $45.55 | Tier 3: $971.99).</t>
        </is>
      </c>
    </row>
    <row r="16">
      <c r="A16" s="2" t="inlineStr">
        <is>
          <t>4. Gross List-Price Policy: All calculations reflect gross list prices before account-level free-tier allowances (e.g. 10 free alarms, 5 GB free logs) to avoid fictitious double-counting across projects sharing an AWS account.</t>
        </is>
      </c>
    </row>
    <row r="17">
      <c r="A17" s="2" t="inlineStr">
        <is>
          <t>5. Pure Infrastructure Consumption: Excluding end-user Cognito identity fees, pure cloud infrastructure consumption across all 4 projects combined is $6.96 at Tier 1, $45.55 at Tier 2, and $421.99/mo at Tier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7" customWidth="1" min="1" max="1"/>
    <col width="58" customWidth="1" min="2" max="2"/>
    <col width="63" customWidth="1" min="3" max="3"/>
    <col width="42" customWidth="1" min="4" max="4"/>
    <col width="87" customWidth="1" min="5" max="5"/>
    <col width="86" customWidth="1" min="6" max="6"/>
    <col width="86" customWidth="1" min="7" max="7"/>
    <col width="71" customWidth="1" min="8" max="8"/>
  </cols>
  <sheetData>
    <row r="1">
      <c r="A1" s="1" t="inlineStr">
        <is>
          <t>Project 1: AWS Cloud Security Analyzer / Employee Document Vault</t>
        </is>
      </c>
    </row>
    <row r="2">
      <c r="A2" s="2" t="inlineStr">
        <is>
          <t>Detailed 3-Tier Scaling Model | Stack: employee-document-vault-dev</t>
        </is>
      </c>
    </row>
    <row r="3"/>
    <row r="4">
      <c r="A4" s="15" t="inlineStr">
        <is>
          <t>Workload Scaling Definitions</t>
        </is>
      </c>
    </row>
    <row r="5">
      <c r="A5" s="16" t="inlineStr">
        <is>
          <t>Tier</t>
        </is>
      </c>
      <c r="B5" s="16" t="inlineStr">
        <is>
          <t>Description</t>
        </is>
      </c>
      <c r="C5" s="16" t="inlineStr">
        <is>
          <t>Monthly Operational Volume Unit</t>
        </is>
      </c>
      <c r="D5" s="16" t="inlineStr">
        <is>
          <t>Assumed Scaling Variable</t>
        </is>
      </c>
    </row>
    <row r="6">
      <c r="A6" s="5" t="inlineStr">
        <is>
          <t>Tier 1: Dev / Low</t>
        </is>
      </c>
      <c r="B6" s="5" t="inlineStr">
        <is>
          <t>Small internal proof-of-concept</t>
        </is>
      </c>
      <c r="C6" s="5" t="inlineStr">
        <is>
          <t>10 employees | 100 uploads/mo</t>
        </is>
      </c>
      <c r="D6" s="5" t="inlineStr">
        <is>
          <t>1,000 API calls | 0.1 GB S3 storage</t>
        </is>
      </c>
    </row>
    <row r="7">
      <c r="A7" s="5" t="inlineStr">
        <is>
          <t>Tier 2: Moderate / Team</t>
        </is>
      </c>
      <c r="B7" s="5" t="inlineStr">
        <is>
          <t>Medium business internal department</t>
        </is>
      </c>
      <c r="C7" s="5" t="inlineStr">
        <is>
          <t>500 employees | 2,500 uploads/mo</t>
        </is>
      </c>
      <c r="D7" s="5" t="inlineStr">
        <is>
          <t>50,000 API calls | 20 GB S3 storage</t>
        </is>
      </c>
    </row>
    <row r="8">
      <c r="A8" s="5" t="inlineStr">
        <is>
          <t>Tier 3: Higher Scale</t>
        </is>
      </c>
      <c r="B8" s="5" t="inlineStr">
        <is>
          <t>Enterprise-wide document management</t>
        </is>
      </c>
      <c r="C8" s="5" t="inlineStr">
        <is>
          <t>10,000 employees | 50,000 uploads/mo</t>
        </is>
      </c>
      <c r="D8" s="5" t="inlineStr">
        <is>
          <t>1,000,000 API calls | 500 GB S3 storage</t>
        </is>
      </c>
    </row>
    <row r="9"/>
    <row r="10">
      <c r="A10" s="15" t="inlineStr">
        <is>
          <t>Detailed Service-by-Service Monthly Cost Calculation (ap-south-1 &amp; Global)</t>
        </is>
      </c>
    </row>
    <row r="11">
      <c r="A11" s="17" t="inlineStr">
        <is>
          <t>AWS Service</t>
        </is>
      </c>
      <c r="B11" s="17" t="inlineStr">
        <is>
          <t>Resource / Purpose</t>
        </is>
      </c>
      <c r="C11" s="17" t="inlineStr">
        <is>
          <t>Pricing Unit &amp; Scope</t>
        </is>
      </c>
      <c r="D11" s="17" t="inlineStr">
        <is>
          <t>Pricing Source Link</t>
        </is>
      </c>
      <c r="E11" s="18" t="inlineStr">
        <is>
          <t>Tier 1 ($/mo)</t>
        </is>
      </c>
      <c r="F11" s="18" t="inlineStr">
        <is>
          <t>Tier 2 ($/mo)</t>
        </is>
      </c>
      <c r="G11" s="18" t="inlineStr">
        <is>
          <t>Tier 3 ($/mo)</t>
        </is>
      </c>
      <c r="H11" s="17" t="inlineStr">
        <is>
          <t>Calculation Formula / Notes</t>
        </is>
      </c>
    </row>
    <row r="12">
      <c r="A12" s="5" t="inlineStr">
        <is>
          <t>Amazon API Gateway</t>
        </is>
      </c>
      <c r="B12" s="5" t="inlineStr">
        <is>
          <t>Regional REST API (docvault-api)</t>
        </is>
      </c>
      <c r="C12" s="5" t="inlineStr">
        <is>
          <t>$3.50 per 1M requests [Regional]</t>
        </is>
      </c>
      <c r="D12" s="5">
        <f>'Pricing Sources'!C5</f>
        <v/>
      </c>
      <c r="E12" s="6">
        <f>(1000/1000000)*'Pricing Sources'!E5</f>
        <v/>
      </c>
      <c r="F12" s="6">
        <f>(50000/1000000)*'Pricing Sources'!E5</f>
        <v/>
      </c>
      <c r="G12" s="6">
        <f>(1000000/1000000)*'Pricing Sources'!E5</f>
        <v/>
      </c>
      <c r="H12" s="5" t="inlineStr">
        <is>
          <t>1,000 -&gt; 50,000 -&gt; 1,000,000 calls</t>
        </is>
      </c>
    </row>
    <row r="13">
      <c r="A13" s="5" t="inlineStr">
        <is>
          <t>AWS Lambda</t>
        </is>
      </c>
      <c r="B13" s="5" t="inlineStr">
        <is>
          <t>7 Microservices (Upload, Download, etc.)</t>
        </is>
      </c>
      <c r="C13" s="5" t="inlineStr">
        <is>
          <t>$0.20/1M req + $0.00001667/GB-s [Mixed]</t>
        </is>
      </c>
      <c r="D13" s="5">
        <f>'Pricing Sources'!C7</f>
        <v/>
      </c>
      <c r="E13" s="6">
        <f>((1000/1000000)*'Pricing Sources'!E7)+(50*'Pricing Sources'!E8)</f>
        <v/>
      </c>
      <c r="F13" s="6">
        <f>((50000/1000000)*'Pricing Sources'!E7)+(2500*'Pricing Sources'!E8)</f>
        <v/>
      </c>
      <c r="G13" s="6">
        <f>((1000000/1000000)*'Pricing Sources'!E7)+(50000*'Pricing Sources'!E8)</f>
        <v/>
      </c>
      <c r="H13" s="5" t="inlineStr">
        <is>
          <t>Avg 200ms @ 256MB = 0.05 GB-s per call</t>
        </is>
      </c>
    </row>
    <row r="14">
      <c r="A14" s="5" t="inlineStr">
        <is>
          <t>Amazon S3</t>
        </is>
      </c>
      <c r="B14" s="5" t="inlineStr">
        <is>
          <t>DocumentsBucket (SSE-KMS, Versioned)</t>
        </is>
      </c>
      <c r="C14" s="5" t="inlineStr">
        <is>
          <t>$0.023/GB + $0.005/1K PUT + $0.0004/1K GET [Regional]</t>
        </is>
      </c>
      <c r="D14" s="5">
        <f>'Pricing Sources'!C11</f>
        <v/>
      </c>
      <c r="E14" s="6">
        <f>(0.1*'Pricing Sources'!E11)+(0.1*'Pricing Sources'!E12)+(0.2*'Pricing Sources'!E13)</f>
        <v/>
      </c>
      <c r="F14" s="6">
        <f>(20*'Pricing Sources'!E11)+(2.5*'Pricing Sources'!E12)+(7.5*'Pricing Sources'!E13)</f>
        <v/>
      </c>
      <c r="G14" s="6">
        <f>(500*'Pricing Sources'!E11)+(50*'Pricing Sources'!E12)+(150*'Pricing Sources'!E13)</f>
        <v/>
      </c>
      <c r="H14" s="5" t="inlineStr">
        <is>
          <t>Avg 2 MB/doc; 0.1 GB -&gt; 20 GB -&gt; 500 GB</t>
        </is>
      </c>
    </row>
    <row r="15">
      <c r="A15" s="5" t="inlineStr">
        <is>
          <t>Amazon DynamoDB</t>
        </is>
      </c>
      <c r="B15" s="5" t="inlineStr">
        <is>
          <t>Documents, Employees, AuditLog Tables</t>
        </is>
      </c>
      <c r="C15" s="5" t="inlineStr">
        <is>
          <t>On-Demand: $0.625/M WRU + $0.125/M RRU [Regional]</t>
        </is>
      </c>
      <c r="D15" s="5">
        <f>'Pricing Sources'!C9</f>
        <v/>
      </c>
      <c r="E15" s="6">
        <f>(0.0001*'Pricing Sources'!E9)+(0.001*'Pricing Sources'!E10)</f>
        <v/>
      </c>
      <c r="F15" s="6">
        <f>(0.005*'Pricing Sources'!E9)+(0.045*'Pricing Sources'!E10)</f>
        <v/>
      </c>
      <c r="G15" s="6">
        <f>(0.1*'Pricing Sources'!E9)+(0.9*'Pricing Sources'!E10)</f>
        <v/>
      </c>
      <c r="H15" s="5" t="inlineStr">
        <is>
          <t>100 WRU / 1K RRU -&gt; 5K WRU / 45K RRU -&gt; 100K WRU / 900K RRU</t>
        </is>
      </c>
    </row>
    <row r="16">
      <c r="A16" s="5" t="inlineStr">
        <is>
          <t>AWS KMS</t>
        </is>
      </c>
      <c r="B16" s="5" t="inlineStr">
        <is>
          <t>DocVaultKmsKey (Customer Managed Key)</t>
        </is>
      </c>
      <c r="C16" s="5" t="inlineStr">
        <is>
          <t>$1.00/mo CMK + $0.03/10K requests [Global]</t>
        </is>
      </c>
      <c r="D16" s="5">
        <f>'Pricing Sources'!C15</f>
        <v/>
      </c>
      <c r="E16" s="6">
        <f>'Pricing Sources'!E15+(300/10000*'Pricing Sources'!E16)</f>
        <v/>
      </c>
      <c r="F16" s="6">
        <f>'Pricing Sources'!E15+(10000/10000*'Pricing Sources'!E16)</f>
        <v/>
      </c>
      <c r="G16" s="6">
        <f>'Pricing Sources'!E15+(200000/10000*'Pricing Sources'!E16)</f>
        <v/>
      </c>
      <c r="H16" s="5" t="inlineStr">
        <is>
          <t>1 Dedicated CMK ($1.00 fixed) + cryptographic enc/dec operations</t>
        </is>
      </c>
    </row>
    <row r="17">
      <c r="A17" s="5" t="inlineStr">
        <is>
          <t>Amazon Cognito</t>
        </is>
      </c>
      <c r="B17" s="5" t="inlineStr">
        <is>
          <t>DocVault User Pool (Employee Auth)</t>
        </is>
      </c>
      <c r="C17" s="5" t="inlineStr">
        <is>
          <t>Lite Tier: Free &lt;= 50,000 MAUs; $0.0055 thereafter [Account]</t>
        </is>
      </c>
      <c r="D17" s="5">
        <f>'Pricing Sources'!C17</f>
        <v/>
      </c>
      <c r="E17" s="6">
        <f>0</f>
        <v/>
      </c>
      <c r="F17" s="6">
        <f>0</f>
        <v/>
      </c>
      <c r="G17" s="6">
        <f>0</f>
        <v/>
      </c>
      <c r="H17" s="5" t="inlineStr">
        <is>
          <t>10 -&gt; 500 -&gt; 10,000 MAUs (all within 50,000 Free Tier)</t>
        </is>
      </c>
    </row>
    <row r="18">
      <c r="A18" s="5" t="inlineStr">
        <is>
          <t>Amazon CloudWatch</t>
        </is>
      </c>
      <c r="B18" s="5" t="inlineStr">
        <is>
          <t>Log Groups &amp; 5 Metric Alarms</t>
        </is>
      </c>
      <c r="C18" s="5" t="inlineStr">
        <is>
          <t>$0.50/GB logs [Regional] + $0.10/alarm [Regional]</t>
        </is>
      </c>
      <c r="D18" s="5">
        <f>'Pricing Sources'!C20</f>
        <v/>
      </c>
      <c r="E18" s="6">
        <f>(1*'Pricing Sources'!E20)+(5*'Pricing Sources'!E21)</f>
        <v/>
      </c>
      <c r="F18" s="6">
        <f>(5*'Pricing Sources'!E20)+(5*'Pricing Sources'!E21)</f>
        <v/>
      </c>
      <c r="G18" s="6">
        <f>(50*'Pricing Sources'!E20)+(5*'Pricing Sources'!E21)</f>
        <v/>
      </c>
      <c r="H18" s="5" t="inlineStr">
        <is>
          <t>1 GB -&gt; 5 GB -&gt; 50 GB log ingestion; 5 standard alarms ($0.50 fixed)</t>
        </is>
      </c>
    </row>
    <row r="19">
      <c r="A19" s="7" t="inlineStr">
        <is>
          <t>Total Estimated Monthly Cost (Gross List-Price)</t>
        </is>
      </c>
      <c r="B19" s="8" t="inlineStr">
        <is>
          <t>Sum of all billable components before free-tier credits</t>
        </is>
      </c>
      <c r="C19" s="10" t="n"/>
      <c r="D19" s="10" t="n"/>
      <c r="E19" s="9">
        <f>SUM(E12:E18)</f>
        <v/>
      </c>
      <c r="F19" s="9">
        <f>SUM(F12:F18)</f>
        <v/>
      </c>
      <c r="G19" s="9">
        <f>SUM(G12:G18)</f>
        <v/>
      </c>
      <c r="H1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0" customWidth="1" min="1" max="1"/>
    <col width="67" customWidth="1" min="2" max="2"/>
    <col width="64" customWidth="1" min="3" max="3"/>
    <col width="54" customWidth="1" min="4" max="4"/>
    <col width="87" customWidth="1" min="5" max="5"/>
    <col width="84" customWidth="1" min="6" max="6"/>
    <col width="87" customWidth="1" min="7" max="7"/>
    <col width="153" customWidth="1" min="8" max="8"/>
  </cols>
  <sheetData>
    <row r="1">
      <c r="A1" s="1" t="inlineStr">
        <is>
          <t>Project 2: Smart Employee Onboarding &amp; Identity Service (VEYRA)</t>
        </is>
      </c>
    </row>
    <row r="2">
      <c r="A2" s="2" t="inlineStr">
        <is>
          <t>Detailed 3-Tier Scaling Model | Stack: onboarding-service-dev</t>
        </is>
      </c>
    </row>
    <row r="3"/>
    <row r="4">
      <c r="A4" s="15" t="inlineStr">
        <is>
          <t>Workload Scaling Definitions</t>
        </is>
      </c>
    </row>
    <row r="5">
      <c r="A5" s="16" t="inlineStr">
        <is>
          <t>Tier</t>
        </is>
      </c>
      <c r="B5" s="16" t="inlineStr">
        <is>
          <t>Description</t>
        </is>
      </c>
      <c r="C5" s="16" t="inlineStr">
        <is>
          <t>Monthly Operational Volume Unit</t>
        </is>
      </c>
      <c r="D5" s="16" t="inlineStr">
        <is>
          <t>Assumed Scaling Variable</t>
        </is>
      </c>
    </row>
    <row r="6">
      <c r="A6" s="5" t="inlineStr">
        <is>
          <t>Tier 1: Dev / Low</t>
        </is>
      </c>
      <c r="B6" s="5" t="inlineStr">
        <is>
          <t>Small organization / internal trial</t>
        </is>
      </c>
      <c r="C6" s="5" t="inlineStr">
        <is>
          <t>10 hires/day = 300 hires/mo</t>
        </is>
      </c>
      <c r="D6" s="5" t="inlineStr">
        <is>
          <t>4,200 API calls | 3,000 Step Fn transitions</t>
        </is>
      </c>
    </row>
    <row r="7">
      <c r="A7" s="5" t="inlineStr">
        <is>
          <t>Tier 2: Moderate / Team</t>
        </is>
      </c>
      <c r="B7" s="5" t="inlineStr">
        <is>
          <t>Growing mid-market business</t>
        </is>
      </c>
      <c r="C7" s="5" t="inlineStr">
        <is>
          <t>500 hires/day = 15,000 hires/mo</t>
        </is>
      </c>
      <c r="D7" s="5" t="inlineStr">
        <is>
          <t>210,000 API calls | 150,000 Step Fn transitions</t>
        </is>
      </c>
    </row>
    <row r="8">
      <c r="A8" s="5" t="inlineStr">
        <is>
          <t>Tier 3: Higher Scale</t>
        </is>
      </c>
      <c r="B8" s="5" t="inlineStr">
        <is>
          <t>Large enterprise hiring surges</t>
        </is>
      </c>
      <c r="C8" s="5" t="inlineStr">
        <is>
          <t>5,000 hires/day = 150,000 hires/mo</t>
        </is>
      </c>
      <c r="D8" s="5" t="inlineStr">
        <is>
          <t>2,100,000 API calls | 1,500,000 Step Fn transitions</t>
        </is>
      </c>
    </row>
    <row r="9"/>
    <row r="10">
      <c r="A10" s="15" t="inlineStr">
        <is>
          <t>Detailed Service-by-Service Monthly Cost Calculation (ap-south-1 &amp; Global)</t>
        </is>
      </c>
    </row>
    <row r="11">
      <c r="A11" s="17" t="inlineStr">
        <is>
          <t>AWS Service</t>
        </is>
      </c>
      <c r="B11" s="17" t="inlineStr">
        <is>
          <t>Resource / Purpose</t>
        </is>
      </c>
      <c r="C11" s="17" t="inlineStr">
        <is>
          <t>Pricing Unit &amp; Scope</t>
        </is>
      </c>
      <c r="D11" s="17" t="inlineStr">
        <is>
          <t>Pricing Source Link</t>
        </is>
      </c>
      <c r="E11" s="18" t="inlineStr">
        <is>
          <t>Tier 1 ($/mo)</t>
        </is>
      </c>
      <c r="F11" s="18" t="inlineStr">
        <is>
          <t>Tier 2 ($/mo)</t>
        </is>
      </c>
      <c r="G11" s="18" t="inlineStr">
        <is>
          <t>Tier 3 ($/mo)</t>
        </is>
      </c>
      <c r="H11" s="17" t="inlineStr">
        <is>
          <t>Calculation Formula / Notes</t>
        </is>
      </c>
    </row>
    <row r="12">
      <c r="A12" s="5" t="inlineStr">
        <is>
          <t>Amazon API Gateway</t>
        </is>
      </c>
      <c r="B12" s="5" t="inlineStr">
        <is>
          <t>Regional REST API (onboarding-api)</t>
        </is>
      </c>
      <c r="C12" s="5" t="inlineStr">
        <is>
          <t>$3.50 per 1M requests [Regional]</t>
        </is>
      </c>
      <c r="D12" s="5">
        <f>'Pricing Sources'!C5</f>
        <v/>
      </c>
      <c r="E12" s="6">
        <f>(4200/1000000)*'Pricing Sources'!E5</f>
        <v/>
      </c>
      <c r="F12" s="6">
        <f>(210000/1000000)*'Pricing Sources'!E5</f>
        <v/>
      </c>
      <c r="G12" s="6">
        <f>(2100000/1000000)*'Pricing Sources'!E5</f>
        <v/>
      </c>
      <c r="H12" s="5" t="inlineStr">
        <is>
          <t>14 requests per new hire (profile, upload URLs, status checks)</t>
        </is>
      </c>
    </row>
    <row r="13">
      <c r="A13" s="5" t="inlineStr">
        <is>
          <t>AWS Lambda</t>
        </is>
      </c>
      <c r="B13" s="5" t="inlineStr">
        <is>
          <t>13 Functions (256 MB, avg 300ms)</t>
        </is>
      </c>
      <c r="C13" s="5" t="inlineStr">
        <is>
          <t>$0.20/1M req + $0.00001667/GB-s [Mixed]</t>
        </is>
      </c>
      <c r="D13" s="5">
        <f>'Pricing Sources'!C7</f>
        <v/>
      </c>
      <c r="E13" s="6">
        <f>((7830/1000000)*'Pricing Sources'!E7)+(587.25*'Pricing Sources'!E8)</f>
        <v/>
      </c>
      <c r="F13" s="6">
        <f>((390030/1000000)*'Pricing Sources'!E7)+(29252.25*'Pricing Sources'!E8)</f>
        <v/>
      </c>
      <c r="G13" s="6">
        <f>((3900030/1000000)*'Pricing Sources'!E7)+(292502.25*'Pricing Sources'!E8)</f>
        <v/>
      </c>
      <c r="H13" s="5" t="inlineStr">
        <is>
          <t>26 invocations/hire (stages, polling, validation, reminder cron)</t>
        </is>
      </c>
    </row>
    <row r="14">
      <c r="A14" s="5" t="inlineStr">
        <is>
          <t>AWS Step Functions</t>
        </is>
      </c>
      <c r="B14" s="5" t="inlineStr">
        <is>
          <t>OnboardingStateMachine (Standard)</t>
        </is>
      </c>
      <c r="C14" s="5" t="inlineStr">
        <is>
          <t>$0.025 per 1,000 transitions [Global]</t>
        </is>
      </c>
      <c r="D14" s="5">
        <f>'Pricing Sources'!C14</f>
        <v/>
      </c>
      <c r="E14" s="6">
        <f>(3000/1000)*'Pricing Sources'!E14</f>
        <v/>
      </c>
      <c r="F14" s="6">
        <f>(150000/1000)*'Pricing Sources'!E14</f>
        <v/>
      </c>
      <c r="G14" s="6">
        <f>(1500000/1000)*'Pricing Sources'!E14</f>
        <v/>
      </c>
      <c r="H14" s="5" t="inlineStr">
        <is>
          <t>10 transitions per workflow (4 stages + polling loops)</t>
        </is>
      </c>
    </row>
    <row r="15">
      <c r="A15" s="5" t="inlineStr">
        <is>
          <t>Amazon DynamoDB</t>
        </is>
      </c>
      <c r="B15" s="5" t="inlineStr">
        <is>
          <t>EmployeeProfileTable (On-Demand + PITR)</t>
        </is>
      </c>
      <c r="C15" s="5" t="inlineStr">
        <is>
          <t>$0.625/M WRU + $0.125/M RRU + $0.20/GB PITR [Regional]</t>
        </is>
      </c>
      <c r="D15" s="5">
        <f>'Pricing Sources'!C9</f>
        <v/>
      </c>
      <c r="E15" s="6">
        <f>(0.0027*'Pricing Sources'!E9)+(0.009*'Pricing Sources'!E10)</f>
        <v/>
      </c>
      <c r="F15" s="6">
        <f>(0.135*'Pricing Sources'!E9)+(0.45*'Pricing Sources'!E10)+(2.5*0.20)</f>
        <v/>
      </c>
      <c r="G15" s="6">
        <f>(1.35*'Pricing Sources'!E9)+(4.5*'Pricing Sources'!E10)+(25*0.20)</f>
        <v/>
      </c>
      <c r="H15" s="5" t="inlineStr">
        <is>
          <t>9 WRU, 30 RRU per hire; PITR backup storage at scale</t>
        </is>
      </c>
    </row>
    <row r="16">
      <c r="A16" s="5" t="inlineStr">
        <is>
          <t>Amazon S3</t>
        </is>
      </c>
      <c r="B16" s="5" t="inlineStr">
        <is>
          <t>Onboarding Documents Bucket</t>
        </is>
      </c>
      <c r="C16" s="5" t="inlineStr">
        <is>
          <t>$0.023/GB + $0.005/1K PUT + $0.0004/1K GET [Regional]</t>
        </is>
      </c>
      <c r="D16" s="5">
        <f>'Pricing Sources'!C11</f>
        <v/>
      </c>
      <c r="E16" s="6">
        <f>(1.8*'Pricing Sources'!E11)+(0.9*'Pricing Sources'!E12)+(1.8*'Pricing Sources'!E13)</f>
        <v/>
      </c>
      <c r="F16" s="6">
        <f>(90*'Pricing Sources'!E11)+(45*'Pricing Sources'!E12)+(90*'Pricing Sources'!E13)</f>
        <v/>
      </c>
      <c r="G16" s="6">
        <f>(900*'Pricing Sources'!E11)+(450*'Pricing Sources'!E12)+(900*'Pricing Sources'!E13)</f>
        <v/>
      </c>
      <c r="H16" s="5" t="inlineStr">
        <is>
          <t>3 docs @ 2MB = 6MB/hire; 1.8 GB -&gt; 90 GB -&gt; 900 GB</t>
        </is>
      </c>
    </row>
    <row r="17">
      <c r="A17" s="5" t="inlineStr">
        <is>
          <t>Amazon SES</t>
        </is>
      </c>
      <c r="B17" s="5" t="inlineStr">
        <is>
          <t>Welcome &amp; Reminder Emails</t>
        </is>
      </c>
      <c r="C17" s="5" t="inlineStr">
        <is>
          <t>$0.10 per 1,000 outbound emails [Global]</t>
        </is>
      </c>
      <c r="D17" s="5">
        <f>'Pricing Sources'!C19</f>
        <v/>
      </c>
      <c r="E17" s="6">
        <f>(1.2*'Pricing Sources'!E19)</f>
        <v/>
      </c>
      <c r="F17" s="6">
        <f>(60*'Pricing Sources'!E19)</f>
        <v/>
      </c>
      <c r="G17" s="6">
        <f>(600*'Pricing Sources'!E19)</f>
        <v/>
      </c>
      <c r="H17" s="5" t="inlineStr">
        <is>
          <t>4 emails per hire (welcome, reminders, confirmation)</t>
        </is>
      </c>
    </row>
    <row r="18">
      <c r="A18" s="5" t="inlineStr">
        <is>
          <t>Amazon SNS</t>
        </is>
      </c>
      <c r="B18" s="5" t="inlineStr">
        <is>
          <t>Onboarding Notifications Topic</t>
        </is>
      </c>
      <c r="C18" s="5" t="inlineStr">
        <is>
          <t>$0.50 per 1M publishes [Global]</t>
        </is>
      </c>
      <c r="D18" s="5">
        <f>'Pricing Sources'!C22</f>
        <v/>
      </c>
      <c r="E18" s="6">
        <f>(300/1000000)*'Pricing Sources'!E22</f>
        <v/>
      </c>
      <c r="F18" s="6">
        <f>(15000/1000000)*'Pricing Sources'!E22</f>
        <v/>
      </c>
      <c r="G18" s="6">
        <f>(150000/1000000)*'Pricing Sources'!E22</f>
        <v/>
      </c>
      <c r="H18" s="5" t="inlineStr">
        <is>
          <t>1 completion notification per employee</t>
        </is>
      </c>
    </row>
    <row r="19">
      <c r="A19" s="5" t="inlineStr">
        <is>
          <t>Amazon Cognito</t>
        </is>
      </c>
      <c r="B19" s="5" t="inlineStr">
        <is>
          <t>Onboarding User Pool (Current Deployed: Essentials)</t>
        </is>
      </c>
      <c r="C19" s="5" t="inlineStr">
        <is>
          <t>Essentials Tier: $0.015/MAU after 10k free [Account]</t>
        </is>
      </c>
      <c r="D19" s="5">
        <f>'Pricing Sources'!C18</f>
        <v/>
      </c>
      <c r="E19" s="6">
        <f>0</f>
        <v/>
      </c>
      <c r="F19" s="6">
        <f>((15000-10000)*'Pricing Sources'!E18)</f>
        <v/>
      </c>
      <c r="G19" s="6">
        <f>((150000-10000)*'Pricing Sources'!E18)</f>
        <v/>
      </c>
      <c r="H19" s="5" t="inlineStr">
        <is>
          <t>Project 2 currently uses Cognito ESSENTIALS. Live deployed tier in AWS (describe-user-pool: ESSENTIALS).</t>
        </is>
      </c>
    </row>
    <row r="20">
      <c r="A20" s="5" t="inlineStr">
        <is>
          <t>Amazon CloudWatch</t>
        </is>
      </c>
      <c r="B20" s="5" t="inlineStr">
        <is>
          <t>Log Groups &amp; 6 Metric Alarms</t>
        </is>
      </c>
      <c r="C20" s="5" t="inlineStr">
        <is>
          <t>$0.50/GB logs [Regional] + $0.10/alarm [Regional]</t>
        </is>
      </c>
      <c r="D20" s="5">
        <f>'Pricing Sources'!C20</f>
        <v/>
      </c>
      <c r="E20" s="6">
        <f>(2*'Pricing Sources'!E20)+(6*'Pricing Sources'!E21)</f>
        <v/>
      </c>
      <c r="F20" s="6">
        <f>(20*'Pricing Sources'!E20)+(6*'Pricing Sources'!E21)</f>
        <v/>
      </c>
      <c r="G20" s="6">
        <f>(150*'Pricing Sources'!E20)+(6*'Pricing Sources'!E21)</f>
        <v/>
      </c>
      <c r="H20" s="5" t="inlineStr">
        <is>
          <t>2 GB -&gt; 20 GB -&gt; 150 GB log ingestion; 6 alarms ($0.60 fixed)</t>
        </is>
      </c>
    </row>
    <row r="21">
      <c r="A21" s="7" t="inlineStr">
        <is>
          <t>Total Estimated Monthly Cost (Current Deployed Baseline — Cognito Essentials)</t>
        </is>
      </c>
      <c r="B21" s="8" t="inlineStr">
        <is>
          <t>Sum of all billable components before free-tier credits</t>
        </is>
      </c>
      <c r="C21" s="10" t="n"/>
      <c r="D21" s="10" t="n"/>
      <c r="E21" s="9">
        <f>SUM(E12:E20)</f>
        <v/>
      </c>
      <c r="F21" s="9">
        <f>SUM(F12:F20)</f>
        <v/>
      </c>
      <c r="G21" s="9">
        <f>SUM(G12:G20)</f>
        <v/>
      </c>
      <c r="H21" s="10" t="n"/>
    </row>
    <row r="22"/>
    <row r="23">
      <c r="A23" s="15" t="inlineStr">
        <is>
          <t>Cost-Optimized Alternative Scenario — Cognito Lite Tier</t>
        </is>
      </c>
    </row>
    <row r="24">
      <c r="A24" s="19" t="inlineStr">
        <is>
          <t>AWS Service</t>
        </is>
      </c>
      <c r="B24" s="19" t="inlineStr">
        <is>
          <t>Resource / Purpose</t>
        </is>
      </c>
      <c r="C24" s="19" t="inlineStr">
        <is>
          <t>Pricing Unit &amp; Scope</t>
        </is>
      </c>
      <c r="D24" s="19" t="inlineStr">
        <is>
          <t>Pricing Source Link</t>
        </is>
      </c>
      <c r="E24" s="20" t="inlineStr">
        <is>
          <t>Tier 1 ($/mo)</t>
        </is>
      </c>
      <c r="F24" s="20" t="inlineStr">
        <is>
          <t>Tier 2 ($/mo)</t>
        </is>
      </c>
      <c r="G24" s="20" t="inlineStr">
        <is>
          <t>Tier 3 ($/mo)</t>
        </is>
      </c>
      <c r="H24" s="19" t="inlineStr">
        <is>
          <t>Calculation Formula / Notes</t>
        </is>
      </c>
    </row>
    <row r="25">
      <c r="A25" s="21" t="inlineStr">
        <is>
          <t>Amazon Cognito (Cost-Optimized Alternative — Cognito Lite)</t>
        </is>
      </c>
      <c r="B25" s="21" t="inlineStr">
        <is>
          <t>Onboarding User Pool (Lite Optimization)</t>
        </is>
      </c>
      <c r="C25" s="21" t="inlineStr">
        <is>
          <t>Lite Tier: $0.0055/MAU after 50k grandfathered free [Account]</t>
        </is>
      </c>
      <c r="D25" s="21">
        <f>'Pricing Sources'!C17</f>
        <v/>
      </c>
      <c r="E25" s="22">
        <f>0</f>
        <v/>
      </c>
      <c r="F25" s="22">
        <f>0</f>
        <v/>
      </c>
      <c r="G25" s="22">
        <f>((150000-50000)*'Pricing Sources'!E17)</f>
        <v/>
      </c>
      <c r="H25" s="21" t="inlineStr">
        <is>
          <t>Project 2 currently uses Cognito ESSENTIALS. The LITE figures are an architectural cost-optimization scenario, not the current deployed configuration.</t>
        </is>
      </c>
    </row>
    <row r="26">
      <c r="A26" s="23" t="inlineStr">
        <is>
          <t>Total Estimated Monthly Cost (Cost-Optimized Alternative — Cognito Lite)</t>
        </is>
      </c>
      <c r="B26" s="24" t="inlineStr">
        <is>
          <t>Reflects Project 2 overall cost under Lite optimization scenario</t>
        </is>
      </c>
      <c r="C26" s="25" t="n"/>
      <c r="D26" s="25" t="n"/>
      <c r="E26" s="26">
        <f>E21</f>
        <v/>
      </c>
      <c r="F26" s="26">
        <f>F21-F19+F25</f>
        <v/>
      </c>
      <c r="G26" s="26">
        <f>G21-G19+G25</f>
        <v/>
      </c>
      <c r="H26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7" customWidth="1" min="1" max="1"/>
    <col width="58" customWidth="1" min="2" max="2"/>
    <col width="63" customWidth="1" min="3" max="3"/>
    <col width="57" customWidth="1" min="4" max="4"/>
    <col width="70" customWidth="1" min="5" max="5"/>
    <col width="72" customWidth="1" min="6" max="6"/>
    <col width="75" customWidth="1" min="7" max="7"/>
    <col width="62" customWidth="1" min="8" max="8"/>
  </cols>
  <sheetData>
    <row r="1">
      <c r="A1" s="1" t="inlineStr">
        <is>
          <t>Project 3: Smart Leave &amp; Absence Management Engine</t>
        </is>
      </c>
    </row>
    <row r="2">
      <c r="A2" s="2" t="inlineStr">
        <is>
          <t>Detailed 3-Tier Scaling Model | Stack: smart-leave-management-dev</t>
        </is>
      </c>
    </row>
    <row r="3"/>
    <row r="4">
      <c r="A4" s="15" t="inlineStr">
        <is>
          <t>Workload Scaling Definitions</t>
        </is>
      </c>
    </row>
    <row r="5">
      <c r="A5" s="16" t="inlineStr">
        <is>
          <t>Tier</t>
        </is>
      </c>
      <c r="B5" s="16" t="inlineStr">
        <is>
          <t>Description</t>
        </is>
      </c>
      <c r="C5" s="16" t="inlineStr">
        <is>
          <t>Monthly Operational Volume Unit</t>
        </is>
      </c>
      <c r="D5" s="16" t="inlineStr">
        <is>
          <t>Assumed Scaling Variable</t>
        </is>
      </c>
    </row>
    <row r="6">
      <c r="A6" s="5" t="inlineStr">
        <is>
          <t>Tier 1: Dev / Low</t>
        </is>
      </c>
      <c r="B6" s="5" t="inlineStr">
        <is>
          <t>Small team office testing</t>
        </is>
      </c>
      <c r="C6" s="5" t="inlineStr">
        <is>
          <t>50 employees | 100 leave requests/mo</t>
        </is>
      </c>
      <c r="D6" s="5" t="inlineStr">
        <is>
          <t>2,000 HTTP API calls | 500 Step Fn transitions</t>
        </is>
      </c>
    </row>
    <row r="7">
      <c r="A7" s="5" t="inlineStr">
        <is>
          <t>Tier 2: Moderate / Team</t>
        </is>
      </c>
      <c r="B7" s="5" t="inlineStr">
        <is>
          <t>Mid-sized company HR operations</t>
        </is>
      </c>
      <c r="C7" s="5" t="inlineStr">
        <is>
          <t>1,000 employees | 3,000 leave requests/mo</t>
        </is>
      </c>
      <c r="D7" s="5" t="inlineStr">
        <is>
          <t>60,000 HTTP API calls | 15,000 Step Fn transitions</t>
        </is>
      </c>
    </row>
    <row r="8">
      <c r="A8" s="5" t="inlineStr">
        <is>
          <t>Tier 3: Higher Scale</t>
        </is>
      </c>
      <c r="B8" s="5" t="inlineStr">
        <is>
          <t>Multi-branch enterprise absence system</t>
        </is>
      </c>
      <c r="C8" s="5" t="inlineStr">
        <is>
          <t>25,000 employees | 75,000 leave requests/mo</t>
        </is>
      </c>
      <c r="D8" s="5" t="inlineStr">
        <is>
          <t>1,500,000 HTTP API calls | 375,000 Step Fn transitions</t>
        </is>
      </c>
    </row>
    <row r="9"/>
    <row r="10">
      <c r="A10" s="15" t="inlineStr">
        <is>
          <t>Detailed Service-by-Service Monthly Cost Calculation (ap-south-1 &amp; Global)</t>
        </is>
      </c>
    </row>
    <row r="11">
      <c r="A11" s="17" t="inlineStr">
        <is>
          <t>AWS Service</t>
        </is>
      </c>
      <c r="B11" s="17" t="inlineStr">
        <is>
          <t>Resource / Purpose</t>
        </is>
      </c>
      <c r="C11" s="17" t="inlineStr">
        <is>
          <t>Pricing Unit &amp; Scope</t>
        </is>
      </c>
      <c r="D11" s="17" t="inlineStr">
        <is>
          <t>Pricing Source Link</t>
        </is>
      </c>
      <c r="E11" s="18" t="inlineStr">
        <is>
          <t>Tier 1 ($/mo)</t>
        </is>
      </c>
      <c r="F11" s="18" t="inlineStr">
        <is>
          <t>Tier 2 ($/mo)</t>
        </is>
      </c>
      <c r="G11" s="18" t="inlineStr">
        <is>
          <t>Tier 3 ($/mo)</t>
        </is>
      </c>
      <c r="H11" s="17" t="inlineStr">
        <is>
          <t>Calculation Formula / Notes</t>
        </is>
      </c>
    </row>
    <row r="12">
      <c r="A12" s="5" t="inlineStr">
        <is>
          <t>Amazon API Gateway</t>
        </is>
      </c>
      <c r="B12" s="5" t="inlineStr">
        <is>
          <t>HTTP API (LeaveHttpApi)</t>
        </is>
      </c>
      <c r="C12" s="5" t="inlineStr">
        <is>
          <t>$1.00 per 1M requests [Regional]</t>
        </is>
      </c>
      <c r="D12" s="5">
        <f>'Pricing Sources'!C6</f>
        <v/>
      </c>
      <c r="E12" s="6">
        <f>(2000/1000000)*'Pricing Sources'!E6</f>
        <v/>
      </c>
      <c r="F12" s="6">
        <f>(60000/1000000)*'Pricing Sources'!E6</f>
        <v/>
      </c>
      <c r="G12" s="6">
        <f>(1500000/1000000)*'Pricing Sources'!E6</f>
        <v/>
      </c>
      <c r="H12" s="5" t="inlineStr">
        <is>
          <t>Low cost HTTP API ($1/M) vs REST ($3.50/M)</t>
        </is>
      </c>
    </row>
    <row r="13">
      <c r="A13" s="5" t="inlineStr">
        <is>
          <t>AWS Lambda</t>
        </is>
      </c>
      <c r="B13" s="5" t="inlineStr">
        <is>
          <t>12 Functions (Node.js 22.x, 256MB)</t>
        </is>
      </c>
      <c r="C13" s="5" t="inlineStr">
        <is>
          <t>$0.20/1M req + $0.00001667/GB-s [Mixed]</t>
        </is>
      </c>
      <c r="D13" s="5">
        <f>'Pricing Sources'!C7</f>
        <v/>
      </c>
      <c r="E13" s="6">
        <f>((2500/1000000)*'Pricing Sources'!E7)+(93.75*'Pricing Sources'!E8)</f>
        <v/>
      </c>
      <c r="F13" s="6">
        <f>((75000/1000000)*'Pricing Sources'!E7)+(2812.5*'Pricing Sources'!E8)</f>
        <v/>
      </c>
      <c r="G13" s="6">
        <f>((1875000/1000000)*'Pricing Sources'!E7)+(70312.5*'Pricing Sources'!E8)</f>
        <v/>
      </c>
      <c r="H13" s="5" t="inlineStr">
        <is>
          <t>Avg 150ms @ 256MB = 0.0375 GB-s per execution</t>
        </is>
      </c>
    </row>
    <row r="14">
      <c r="A14" s="5" t="inlineStr">
        <is>
          <t>AWS Step Functions</t>
        </is>
      </c>
      <c r="B14" s="5" t="inlineStr">
        <is>
          <t>LeaveApprovalStateMachine (Standard)</t>
        </is>
      </c>
      <c r="C14" s="5" t="inlineStr">
        <is>
          <t>$0.025 per 1,000 transitions [Global]</t>
        </is>
      </c>
      <c r="D14" s="5">
        <f>'Pricing Sources'!C14</f>
        <v/>
      </c>
      <c r="E14" s="6">
        <f>(500/1000)*'Pricing Sources'!E14</f>
        <v/>
      </c>
      <c r="F14" s="6">
        <f>(15000/1000)*'Pricing Sources'!E14</f>
        <v/>
      </c>
      <c r="G14" s="6">
        <f>(375000/1000)*'Pricing Sources'!E14</f>
        <v/>
      </c>
      <c r="H14" s="5" t="inlineStr">
        <is>
          <t>5 transitions per approval workflow</t>
        </is>
      </c>
    </row>
    <row r="15">
      <c r="A15" s="5" t="inlineStr">
        <is>
          <t>AWS Secrets Manager</t>
        </is>
      </c>
      <c r="B15" s="5" t="inlineStr">
        <is>
          <t>ApprovalSecret (HMAC token signing)</t>
        </is>
      </c>
      <c r="C15" s="5" t="inlineStr">
        <is>
          <t>$0.40/secret/mo + $0.05/10K calls [Global]</t>
        </is>
      </c>
      <c r="D15" s="5">
        <f>'Pricing Sources'!C23</f>
        <v/>
      </c>
      <c r="E15" s="6">
        <f>'Pricing Sources'!E23+(200/10000*'Pricing Sources'!E24)</f>
        <v/>
      </c>
      <c r="F15" s="6">
        <f>'Pricing Sources'!E23+(6000/10000*'Pricing Sources'!E24)</f>
        <v/>
      </c>
      <c r="G15" s="6">
        <f>'Pricing Sources'!E23+(150000/10000*'Pricing Sources'!E24)</f>
        <v/>
      </c>
      <c r="H15" s="5" t="inlineStr">
        <is>
          <t>1 Dedicated Secret ($0.40 fixed) + token validation calls</t>
        </is>
      </c>
    </row>
    <row r="16">
      <c r="A16" s="5" t="inlineStr">
        <is>
          <t>Amazon DynamoDB</t>
        </is>
      </c>
      <c r="B16" s="5" t="inlineStr">
        <is>
          <t>Requests, Balances, Config Tables</t>
        </is>
      </c>
      <c r="C16" s="5" t="inlineStr">
        <is>
          <t>On-Demand: $0.625/M WRU + $0.125/M RRU [Regional]</t>
        </is>
      </c>
      <c r="D16" s="5">
        <f>'Pricing Sources'!C9</f>
        <v/>
      </c>
      <c r="E16" s="6">
        <f>(0.0005*'Pricing Sources'!E9)+(0.004*'Pricing Sources'!E10)</f>
        <v/>
      </c>
      <c r="F16" s="6">
        <f>(0.015*'Pricing Sources'!E9)+(0.12*'Pricing Sources'!E10)</f>
        <v/>
      </c>
      <c r="G16" s="6">
        <f>(0.375*'Pricing Sources'!E9)+(3.0*'Pricing Sources'!E10)</f>
        <v/>
      </c>
      <c r="H16" s="5" t="inlineStr">
        <is>
          <t>Ledger updates, quota checks, GSI queries</t>
        </is>
      </c>
    </row>
    <row r="17">
      <c r="A17" s="5" t="inlineStr">
        <is>
          <t>Amazon SES</t>
        </is>
      </c>
      <c r="B17" s="5" t="inlineStr">
        <is>
          <t>Manager / HR Notification Emails</t>
        </is>
      </c>
      <c r="C17" s="5" t="inlineStr">
        <is>
          <t>$0.10 per 1,000 outbound emails [Global]</t>
        </is>
      </c>
      <c r="D17" s="5">
        <f>'Pricing Sources'!C19</f>
        <v/>
      </c>
      <c r="E17" s="6">
        <f>(0.3*'Pricing Sources'!E19)</f>
        <v/>
      </c>
      <c r="F17" s="6">
        <f>(9*'Pricing Sources'!E19)</f>
        <v/>
      </c>
      <c r="G17" s="6">
        <f>(225*'Pricing Sources'!E19)</f>
        <v/>
      </c>
      <c r="H17" s="5" t="inlineStr">
        <is>
          <t>3 emails per request (manager review, decision, status)</t>
        </is>
      </c>
    </row>
    <row r="18">
      <c r="A18" s="5" t="inlineStr">
        <is>
          <t>Amazon SNS</t>
        </is>
      </c>
      <c r="B18" s="5" t="inlineStr">
        <is>
          <t>Manager Notifications Topic</t>
        </is>
      </c>
      <c r="C18" s="5" t="inlineStr">
        <is>
          <t>$0.50 per 1M publishes [Global]</t>
        </is>
      </c>
      <c r="D18" s="5">
        <f>'Pricing Sources'!C22</f>
        <v/>
      </c>
      <c r="E18" s="6">
        <f>(100/1000000)*'Pricing Sources'!E22</f>
        <v/>
      </c>
      <c r="F18" s="6">
        <f>(3000/1000000)*'Pricing Sources'!E22</f>
        <v/>
      </c>
      <c r="G18" s="6">
        <f>(75000/1000000)*'Pricing Sources'!E22</f>
        <v/>
      </c>
      <c r="H18" s="5" t="inlineStr">
        <is>
          <t>Manager urgent approval push notifications</t>
        </is>
      </c>
    </row>
    <row r="19">
      <c r="A19" s="5" t="inlineStr">
        <is>
          <t>Amazon Cognito</t>
        </is>
      </c>
      <c r="B19" s="5" t="inlineStr">
        <is>
          <t>Leave User Pool</t>
        </is>
      </c>
      <c r="C19" s="5" t="inlineStr">
        <is>
          <t>Lite Tier: Free &lt;= 50,000 MAUs; $0.0055 thereafter [Account]</t>
        </is>
      </c>
      <c r="D19" s="5">
        <f>'Pricing Sources'!C17</f>
        <v/>
      </c>
      <c r="E19" s="6">
        <f>0</f>
        <v/>
      </c>
      <c r="F19" s="6">
        <f>0</f>
        <v/>
      </c>
      <c r="G19" s="6">
        <f>0</f>
        <v/>
      </c>
      <c r="H19" s="5" t="inlineStr">
        <is>
          <t>50 -&gt; 1,000 -&gt; 25,000 MAUs (all within Free Tier)</t>
        </is>
      </c>
    </row>
    <row r="20">
      <c r="A20" s="5" t="inlineStr">
        <is>
          <t>Amazon CloudWatch</t>
        </is>
      </c>
      <c r="B20" s="5" t="inlineStr">
        <is>
          <t>Log Groups &amp; 4 Metric Alarms</t>
        </is>
      </c>
      <c r="C20" s="5" t="inlineStr">
        <is>
          <t>$0.50/GB logs [Regional] + $0.10/alarm [Regional]</t>
        </is>
      </c>
      <c r="D20" s="5">
        <f>'Pricing Sources'!C20</f>
        <v/>
      </c>
      <c r="E20" s="6">
        <f>(1*'Pricing Sources'!E20)+(4*'Pricing Sources'!E21)</f>
        <v/>
      </c>
      <c r="F20" s="6">
        <f>(8*'Pricing Sources'!E20)+(4*'Pricing Sources'!E21)</f>
        <v/>
      </c>
      <c r="G20" s="6">
        <f>(60*'Pricing Sources'!E20)+(4*'Pricing Sources'!E21)</f>
        <v/>
      </c>
      <c r="H20" s="5" t="inlineStr">
        <is>
          <t>1 GB -&gt; 8 GB -&gt; 60 GB log ingestion; 4 alarms ($0.40 fixed)</t>
        </is>
      </c>
    </row>
    <row r="21">
      <c r="A21" s="7" t="inlineStr">
        <is>
          <t>Total Estimated Monthly Cost (Gross List-Price)</t>
        </is>
      </c>
      <c r="B21" s="8" t="inlineStr">
        <is>
          <t>Sum of all billable components before free-tier credits</t>
        </is>
      </c>
      <c r="C21" s="10" t="n"/>
      <c r="D21" s="10" t="n"/>
      <c r="E21" s="9">
        <f>SUM(E12:E20)</f>
        <v/>
      </c>
      <c r="F21" s="9">
        <f>SUM(F12:F20)</f>
        <v/>
      </c>
      <c r="G21" s="9">
        <f>SUM(G12:G20)</f>
        <v/>
      </c>
      <c r="H21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7" customWidth="1" min="1" max="1"/>
    <col width="58" customWidth="1" min="2" max="2"/>
    <col width="63" customWidth="1" min="3" max="3"/>
    <col width="57" customWidth="1" min="4" max="4"/>
    <col width="87" customWidth="1" min="5" max="5"/>
    <col width="84" customWidth="1" min="6" max="6"/>
    <col width="89" customWidth="1" min="7" max="7"/>
    <col width="64" customWidth="1" min="8" max="8"/>
  </cols>
  <sheetData>
    <row r="1">
      <c r="A1" s="1" t="inlineStr">
        <is>
          <t>Project 4: AI-Powered Resume Screener Pipeline</t>
        </is>
      </c>
    </row>
    <row r="2">
      <c r="A2" s="2" t="inlineStr">
        <is>
          <t>Detailed 3-Tier Scaling Model | Stack: resume-screener-dev</t>
        </is>
      </c>
    </row>
    <row r="3"/>
    <row r="4">
      <c r="A4" s="15" t="inlineStr">
        <is>
          <t>Workload Scaling Definitions</t>
        </is>
      </c>
    </row>
    <row r="5">
      <c r="A5" s="16" t="inlineStr">
        <is>
          <t>Tier</t>
        </is>
      </c>
      <c r="B5" s="16" t="inlineStr">
        <is>
          <t>Description</t>
        </is>
      </c>
      <c r="C5" s="16" t="inlineStr">
        <is>
          <t>Monthly Operational Volume Unit</t>
        </is>
      </c>
      <c r="D5" s="16" t="inlineStr">
        <is>
          <t>Assumed Scaling Variable</t>
        </is>
      </c>
    </row>
    <row r="6">
      <c r="A6" s="5" t="inlineStr">
        <is>
          <t>Tier 1: Dev / Low</t>
        </is>
      </c>
      <c r="B6" s="5" t="inlineStr">
        <is>
          <t>Single recruiter POC / boutique firm</t>
        </is>
      </c>
      <c r="C6" s="5" t="inlineStr">
        <is>
          <t>5 jobs | 100 resumes/mo</t>
        </is>
      </c>
      <c r="D6" s="5" t="inlineStr">
        <is>
          <t>2,000 API calls | 100 OCR &amp; NLP container runs</t>
        </is>
      </c>
    </row>
    <row r="7">
      <c r="A7" s="5" t="inlineStr">
        <is>
          <t>Tier 2: Moderate / Team</t>
        </is>
      </c>
      <c r="B7" s="5" t="inlineStr">
        <is>
          <t>Active technical talent acquisition</t>
        </is>
      </c>
      <c r="C7" s="5" t="inlineStr">
        <is>
          <t>100 jobs | 5,000 resumes/mo</t>
        </is>
      </c>
      <c r="D7" s="5" t="inlineStr">
        <is>
          <t>75,000 API calls | 5,000 OCR &amp; NLP container runs</t>
        </is>
      </c>
    </row>
    <row r="8">
      <c r="A8" s="5" t="inlineStr">
        <is>
          <t>Tier 3: Higher Scale</t>
        </is>
      </c>
      <c r="B8" s="5" t="inlineStr">
        <is>
          <t>High-volume recruitment / staffing</t>
        </is>
      </c>
      <c r="C8" s="5" t="inlineStr">
        <is>
          <t>2,500 jobs | 100,000 resumes/mo</t>
        </is>
      </c>
      <c r="D8" s="5" t="inlineStr">
        <is>
          <t>1,500,000 API calls | 100,000 OCR &amp; NLP container runs</t>
        </is>
      </c>
    </row>
    <row r="9"/>
    <row r="10">
      <c r="A10" s="15" t="inlineStr">
        <is>
          <t>Detailed Service-by-Service Monthly Cost Calculation (ap-south-1 &amp; Global)</t>
        </is>
      </c>
    </row>
    <row r="11">
      <c r="A11" s="17" t="inlineStr">
        <is>
          <t>AWS Service</t>
        </is>
      </c>
      <c r="B11" s="17" t="inlineStr">
        <is>
          <t>Resource / Purpose</t>
        </is>
      </c>
      <c r="C11" s="17" t="inlineStr">
        <is>
          <t>Pricing Unit &amp; Scope</t>
        </is>
      </c>
      <c r="D11" s="17" t="inlineStr">
        <is>
          <t>Pricing Source Link</t>
        </is>
      </c>
      <c r="E11" s="18" t="inlineStr">
        <is>
          <t>Tier 1 ($/mo)</t>
        </is>
      </c>
      <c r="F11" s="18" t="inlineStr">
        <is>
          <t>Tier 2 ($/mo)</t>
        </is>
      </c>
      <c r="G11" s="18" t="inlineStr">
        <is>
          <t>Tier 3 ($/mo)</t>
        </is>
      </c>
      <c r="H11" s="17" t="inlineStr">
        <is>
          <t>Calculation Formula / Notes</t>
        </is>
      </c>
    </row>
    <row r="12">
      <c r="A12" s="5" t="inlineStr">
        <is>
          <t>Amazon API Gateway</t>
        </is>
      </c>
      <c r="B12" s="5" t="inlineStr">
        <is>
          <t>Regional REST API (rs-api-dev, EDGE)</t>
        </is>
      </c>
      <c r="C12" s="5" t="inlineStr">
        <is>
          <t>$3.50 per 1M requests [Regional]</t>
        </is>
      </c>
      <c r="D12" s="5">
        <f>'Pricing Sources'!C5</f>
        <v/>
      </c>
      <c r="E12" s="6">
        <f>(2000/1000000)*'Pricing Sources'!E5</f>
        <v/>
      </c>
      <c r="F12" s="6">
        <f>(75000/1000000)*'Pricing Sources'!E5</f>
        <v/>
      </c>
      <c r="G12" s="6">
        <f>(1500000/1000000)*'Pricing Sources'!E5</f>
        <v/>
      </c>
      <c r="H12" s="5" t="inlineStr">
        <is>
          <t>10 Recruiter REST Endpoints + CORS options</t>
        </is>
      </c>
    </row>
    <row r="13">
      <c r="A13" s="5" t="inlineStr">
        <is>
          <t>AWS Lambda: Ingestion &amp; NLP</t>
        </is>
      </c>
      <c r="B13" s="5" t="inlineStr">
        <is>
          <t>Extraction &amp; NLP (1536MB Container)</t>
        </is>
      </c>
      <c r="C13" s="5" t="inlineStr">
        <is>
          <t>$0.20/1M req + $0.00001667/GB-s [Mixed]</t>
        </is>
      </c>
      <c r="D13" s="5">
        <f>'Pricing Sources'!C7</f>
        <v/>
      </c>
      <c r="E13" s="6">
        <f>((210/1000000)*'Pricing Sources'!E7)+(677.25*'Pricing Sources'!E8)</f>
        <v/>
      </c>
      <c r="F13" s="6">
        <f>((10200/1000000)*'Pricing Sources'!E7)+(32895*'Pricing Sources'!E8)</f>
        <v/>
      </c>
      <c r="G13" s="6">
        <f>((205000/1000000)*'Pricing Sources'!E7)+(661125*'Pricing Sources'!E8)</f>
        <v/>
      </c>
      <c r="H13" s="5" t="inlineStr">
        <is>
          <t>OCR (2.5s) + spaCy NLP (1.8s) @ 1.5 GB memory</t>
        </is>
      </c>
    </row>
    <row r="14">
      <c r="A14" s="5" t="inlineStr">
        <is>
          <t>AWS Lambda: API &amp; Scoring</t>
        </is>
      </c>
      <c r="B14" s="5" t="inlineStr">
        <is>
          <t>Scoring, Decision, APIs (256MB Zip)</t>
        </is>
      </c>
      <c r="C14" s="5" t="inlineStr">
        <is>
          <t>$0.20/1M req + $0.00001667/GB-s [Mixed]</t>
        </is>
      </c>
      <c r="D14" s="5">
        <f>'Pricing Sources'!C7</f>
        <v/>
      </c>
      <c r="E14" s="6">
        <f>((2100/1000000)*'Pricing Sources'!E7)+(80*'Pricing Sources'!E8)</f>
        <v/>
      </c>
      <c r="F14" s="6">
        <f>((80000/1000000)*'Pricing Sources'!E7)+(3062.5*'Pricing Sources'!E8)</f>
        <v/>
      </c>
      <c r="G14" s="6">
        <f>((1600000/1000000)*'Pricing Sources'!E7)+(61250*'Pricing Sources'!E8)</f>
        <v/>
      </c>
      <c r="H14" s="5" t="inlineStr">
        <is>
          <t>TF-IDF Scoring (0.2s) + REST APIs (0.15s) @ 256 MB</t>
        </is>
      </c>
    </row>
    <row r="15">
      <c r="A15" s="5" t="inlineStr">
        <is>
          <t>Amazon SQS</t>
        </is>
      </c>
      <c r="B15" s="5" t="inlineStr">
        <is>
          <t>Ingestion &amp; Scoring Queues + DLQs</t>
        </is>
      </c>
      <c r="C15" s="5" t="inlineStr">
        <is>
          <t>$0.40 per 1M requests [Global]</t>
        </is>
      </c>
      <c r="D15" s="5">
        <f>'Pricing Sources'!C25</f>
        <v/>
      </c>
      <c r="E15" s="6">
        <f>(300/1000000)*'Pricing Sources'!E25</f>
        <v/>
      </c>
      <c r="F15" s="6">
        <f>(15000/1000000)*'Pricing Sources'!E25</f>
        <v/>
      </c>
      <c r="G15" s="6">
        <f>(300000/1000000)*'Pricing Sources'!E25</f>
        <v/>
      </c>
      <c r="H15" s="5" t="inlineStr">
        <is>
          <t>Asynchronous decoupling across pipeline stages</t>
        </is>
      </c>
    </row>
    <row r="16">
      <c r="A16" s="5" t="inlineStr">
        <is>
          <t>Amazon S3</t>
        </is>
      </c>
      <c r="B16" s="5" t="inlineStr">
        <is>
          <t>UploadBucket &amp; WebBucket (Versioning)</t>
        </is>
      </c>
      <c r="C16" s="5" t="inlineStr">
        <is>
          <t>$0.023/GB + $0.005/1K PUT + $0.0004/1K GET [Regional]</t>
        </is>
      </c>
      <c r="D16" s="5">
        <f>'Pricing Sources'!C11</f>
        <v/>
      </c>
      <c r="E16" s="6">
        <f>(0.1*'Pricing Sources'!E11)+(0.2*'Pricing Sources'!E12)+(0.3*'Pricing Sources'!E13)</f>
        <v/>
      </c>
      <c r="F16" s="6">
        <f>(5.1*'Pricing Sources'!E11)+(6*'Pricing Sources'!E12)+(15*'Pricing Sources'!E13)</f>
        <v/>
      </c>
      <c r="G16" s="6">
        <f>(102.5*'Pricing Sources'!E11)+(120*'Pricing Sources'!E12)+(300*'Pricing Sources'!E13)</f>
        <v/>
      </c>
      <c r="H16" s="5" t="inlineStr">
        <is>
          <t>Avg 1 MB/resume; 0.1 GB -&gt; 5.1 GB -&gt; 102.5 GB stored</t>
        </is>
      </c>
    </row>
    <row r="17">
      <c r="A17" s="5" t="inlineStr">
        <is>
          <t>Amazon DynamoDB</t>
        </is>
      </c>
      <c r="B17" s="5" t="inlineStr">
        <is>
          <t>Jobs, Candidates, FailedJobs, Config (PITR)</t>
        </is>
      </c>
      <c r="C17" s="5" t="inlineStr">
        <is>
          <t>$0.625/M WRU + $0.125/M RRU + $0.20/GB PITR [Regional]</t>
        </is>
      </c>
      <c r="D17" s="5">
        <f>'Pricing Sources'!C9</f>
        <v/>
      </c>
      <c r="E17" s="6">
        <f>(0.0005*'Pricing Sources'!E9)+(0.004*'Pricing Sources'!E10)</f>
        <v/>
      </c>
      <c r="F17" s="6">
        <f>(0.025*'Pricing Sources'!E9)+(0.20*'Pricing Sources'!E10)+(2*0.20)</f>
        <v/>
      </c>
      <c r="G17" s="6">
        <f>(0.50*'Pricing Sources'!E9)+(4.0*'Pricing Sources'!E10)+(40*0.20)</f>
        <v/>
      </c>
      <c r="H17" s="5" t="inlineStr">
        <is>
          <t>Stage updates + PITR continuous protection</t>
        </is>
      </c>
    </row>
    <row r="18">
      <c r="A18" s="5" t="inlineStr">
        <is>
          <t>Amazon CloudFront</t>
        </is>
      </c>
      <c r="B18" s="5" t="inlineStr">
        <is>
          <t>WebDistribution (SPA Dashboard)</t>
        </is>
      </c>
      <c r="C18" s="5" t="inlineStr">
        <is>
          <t>1TB/mo free; $0.085/GB + $0.01/10K reqs [Regional]</t>
        </is>
      </c>
      <c r="D18" s="5">
        <f>'Pricing Sources'!C26</f>
        <v/>
      </c>
      <c r="E18" s="6">
        <f>0</f>
        <v/>
      </c>
      <c r="F18" s="6">
        <f>0</f>
        <v/>
      </c>
      <c r="G18" s="6">
        <f>0</f>
        <v/>
      </c>
      <c r="H18" s="5" t="inlineStr">
        <is>
          <t>0.5 GB -&gt; 15 GB -&gt; 250 GB egress (all &lt;= 1 TB Free Tier)</t>
        </is>
      </c>
    </row>
    <row r="19">
      <c r="A19" s="5" t="inlineStr">
        <is>
          <t>Amazon SES</t>
        </is>
      </c>
      <c r="B19" s="5" t="inlineStr">
        <is>
          <t>Candidate Decision Emails</t>
        </is>
      </c>
      <c r="C19" s="5" t="inlineStr">
        <is>
          <t>$0.10 per 1,000 outbound emails [Global]</t>
        </is>
      </c>
      <c r="D19" s="5">
        <f>'Pricing Sources'!C19</f>
        <v/>
      </c>
      <c r="E19" s="6">
        <f>(0.05*'Pricing Sources'!E19)</f>
        <v/>
      </c>
      <c r="F19" s="6">
        <f>(2.5*'Pricing Sources'!E19)</f>
        <v/>
      </c>
      <c r="G19" s="6">
        <f>(50*'Pricing Sources'!E19)</f>
        <v/>
      </c>
      <c r="H19" s="5" t="inlineStr">
        <is>
          <t>Candidate shortlist/rejection notifications</t>
        </is>
      </c>
    </row>
    <row r="20">
      <c r="A20" s="5" t="inlineStr">
        <is>
          <t>Amazon Cognito</t>
        </is>
      </c>
      <c r="B20" s="5" t="inlineStr">
        <is>
          <t>Recruiter User Pool</t>
        </is>
      </c>
      <c r="C20" s="5" t="inlineStr">
        <is>
          <t>Lite Tier: Free &lt;= 50,000 MAUs; $0.0055 thereafter [Account]</t>
        </is>
      </c>
      <c r="D20" s="5">
        <f>'Pricing Sources'!C17</f>
        <v/>
      </c>
      <c r="E20" s="6">
        <f>0</f>
        <v/>
      </c>
      <c r="F20" s="6">
        <f>0</f>
        <v/>
      </c>
      <c r="G20" s="6">
        <f>0</f>
        <v/>
      </c>
      <c r="H20" s="5" t="inlineStr">
        <is>
          <t>5 -&gt; 25 -&gt; 250 Recruiter MAUs (all within Free Tier)</t>
        </is>
      </c>
    </row>
    <row r="21">
      <c r="A21" s="5" t="inlineStr">
        <is>
          <t>Amazon CloudWatch</t>
        </is>
      </c>
      <c r="B21" s="5" t="inlineStr">
        <is>
          <t>Log Groups &amp; 7 Metric Alarms</t>
        </is>
      </c>
      <c r="C21" s="5" t="inlineStr">
        <is>
          <t>$0.50/GB logs [Regional] + $0.10/alarm [Regional]</t>
        </is>
      </c>
      <c r="D21" s="5">
        <f>'Pricing Sources'!C20</f>
        <v/>
      </c>
      <c r="E21" s="6">
        <f>(2*'Pricing Sources'!E20)+(7*'Pricing Sources'!E21)</f>
        <v/>
      </c>
      <c r="F21" s="6">
        <f>(15*'Pricing Sources'!E20)+(7*'Pricing Sources'!E21)</f>
        <v/>
      </c>
      <c r="G21" s="6">
        <f>(120*'Pricing Sources'!E20)+(7*'Pricing Sources'!E21)</f>
        <v/>
      </c>
      <c r="H21" s="5" t="inlineStr">
        <is>
          <t>2 GB -&gt; 15 GB -&gt; 120 GB log ingestion; 7 alarms ($0.70 fixed)</t>
        </is>
      </c>
    </row>
    <row r="22">
      <c r="A22" s="7" t="inlineStr">
        <is>
          <t>Total Estimated Monthly Cost (Gross List-Price)</t>
        </is>
      </c>
      <c r="B22" s="8" t="inlineStr">
        <is>
          <t>Sum of all billable components before free-tier credits</t>
        </is>
      </c>
      <c r="C22" s="10" t="n"/>
      <c r="D22" s="10" t="n"/>
      <c r="E22" s="9">
        <f>SUM(E12:E21)</f>
        <v/>
      </c>
      <c r="F22" s="9">
        <f>SUM(F12:F21)</f>
        <v/>
      </c>
      <c r="G22" s="9">
        <f>SUM(G12:G21)</f>
        <v/>
      </c>
      <c r="H22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4" customWidth="1" min="3" max="3"/>
    <col width="34" customWidth="1" min="4" max="4"/>
    <col width="19" customWidth="1" min="5" max="5"/>
    <col width="32" customWidth="1" min="6" max="6"/>
    <col width="53" customWidth="1" min="7" max="7"/>
    <col width="15" customWidth="1" min="8" max="8"/>
  </cols>
  <sheetData>
    <row r="1">
      <c r="A1" s="1" t="inlineStr">
        <is>
          <t>AWS Public Pricing Master Sheet — Verified Rates (ap-south-1 &amp; Global)</t>
        </is>
      </c>
    </row>
    <row r="2">
      <c r="A2" s="2" t="inlineStr">
        <is>
          <t>All prices verified against official AWS documentation &amp; AWS Pricing Calculator (Checked October 2026)</t>
        </is>
      </c>
    </row>
    <row r="3"/>
    <row r="4">
      <c r="A4" s="17" t="inlineStr">
        <is>
          <t>Service</t>
        </is>
      </c>
      <c r="B4" s="17" t="inlineStr">
        <is>
          <t>Component / Description</t>
        </is>
      </c>
      <c r="C4" s="17" t="inlineStr">
        <is>
          <t>Pricing Dimension</t>
        </is>
      </c>
      <c r="D4" s="18" t="inlineStr">
        <is>
          <t>Pricing Scope / Basis</t>
        </is>
      </c>
      <c r="E4" s="18" t="inlineStr">
        <is>
          <t>Unit Price (USD)</t>
        </is>
      </c>
      <c r="F4" s="17" t="inlineStr">
        <is>
          <t>Free Tier Allowance</t>
        </is>
      </c>
      <c r="G4" s="17" t="inlineStr">
        <is>
          <t>Official Documentation Reference</t>
        </is>
      </c>
      <c r="H4" s="18" t="inlineStr">
        <is>
          <t>Date Checked</t>
        </is>
      </c>
    </row>
    <row r="5">
      <c r="A5" s="5" t="inlineStr">
        <is>
          <t>API Gateway</t>
        </is>
      </c>
      <c r="B5" s="5" t="inlineStr">
        <is>
          <t>Regional REST API</t>
        </is>
      </c>
      <c r="C5" s="5" t="inlineStr">
        <is>
          <t>Price per 1,000,000 requests</t>
        </is>
      </c>
      <c r="D5" s="5" t="inlineStr">
        <is>
          <t>Regional (ap-south-1)</t>
        </is>
      </c>
      <c r="E5" s="6" t="n">
        <v>3.5</v>
      </c>
      <c r="F5" s="5" t="inlineStr">
        <is>
          <t>1M req/mo (12 mo)</t>
        </is>
      </c>
      <c r="G5" s="5" t="inlineStr">
        <is>
          <t>https://aws.amazon.com/api-gateway/pricing/</t>
        </is>
      </c>
      <c r="H5" s="5" t="inlineStr">
        <is>
          <t>2026-10-04</t>
        </is>
      </c>
    </row>
    <row r="6">
      <c r="A6" s="5" t="inlineStr">
        <is>
          <t>API Gateway</t>
        </is>
      </c>
      <c r="B6" s="5" t="inlineStr">
        <is>
          <t>HTTP API</t>
        </is>
      </c>
      <c r="C6" s="5" t="inlineStr">
        <is>
          <t>Price per 1,000,000 requests</t>
        </is>
      </c>
      <c r="D6" s="5" t="inlineStr">
        <is>
          <t>Regional (ap-south-1)</t>
        </is>
      </c>
      <c r="E6" s="6" t="n">
        <v>1</v>
      </c>
      <c r="F6" s="5" t="inlineStr">
        <is>
          <t>1M req/mo (12 mo)</t>
        </is>
      </c>
      <c r="G6" s="5" t="inlineStr">
        <is>
          <t>https://aws.amazon.com/api-gateway/pricing/</t>
        </is>
      </c>
      <c r="H6" s="5" t="inlineStr">
        <is>
          <t>2026-10-04</t>
        </is>
      </c>
    </row>
    <row r="7">
      <c r="A7" s="5" t="inlineStr">
        <is>
          <t>AWS Lambda</t>
        </is>
      </c>
      <c r="B7" s="5" t="inlineStr">
        <is>
          <t>Function Invocations</t>
        </is>
      </c>
      <c r="C7" s="5" t="inlineStr">
        <is>
          <t>Price per 1,000,000 invocations</t>
        </is>
      </c>
      <c r="D7" s="5" t="inlineStr">
        <is>
          <t>Global</t>
        </is>
      </c>
      <c r="E7" s="6" t="n">
        <v>0.2</v>
      </c>
      <c r="F7" s="5" t="inlineStr">
        <is>
          <t>1M req/mo (Always)</t>
        </is>
      </c>
      <c r="G7" s="5" t="inlineStr">
        <is>
          <t>https://aws.amazon.com/lambda/pricing/</t>
        </is>
      </c>
      <c r="H7" s="5" t="inlineStr">
        <is>
          <t>2026-10-04</t>
        </is>
      </c>
    </row>
    <row r="8">
      <c r="A8" s="5" t="inlineStr">
        <is>
          <t>AWS Lambda</t>
        </is>
      </c>
      <c r="B8" s="5" t="inlineStr">
        <is>
          <t>x86 Compute Duration</t>
        </is>
      </c>
      <c r="C8" s="5" t="inlineStr">
        <is>
          <t>Price per GB-second</t>
        </is>
      </c>
      <c r="D8" s="5" t="inlineStr">
        <is>
          <t>Regional (ap-south-1)</t>
        </is>
      </c>
      <c r="E8" s="27" t="n">
        <v>1.66667e-05</v>
      </c>
      <c r="F8" s="5" t="inlineStr">
        <is>
          <t>400,000 GB-s/mo (Always)</t>
        </is>
      </c>
      <c r="G8" s="5" t="inlineStr">
        <is>
          <t>https://aws.amazon.com/lambda/pricing/</t>
        </is>
      </c>
      <c r="H8" s="5" t="inlineStr">
        <is>
          <t>2026-10-04</t>
        </is>
      </c>
    </row>
    <row r="9">
      <c r="A9" s="5" t="inlineStr">
        <is>
          <t>DynamoDB</t>
        </is>
      </c>
      <c r="B9" s="5" t="inlineStr">
        <is>
          <t>On-Demand Write (WRU)</t>
        </is>
      </c>
      <c r="C9" s="5" t="inlineStr">
        <is>
          <t>Price per 1,000,000 WRU</t>
        </is>
      </c>
      <c r="D9" s="5" t="inlineStr">
        <is>
          <t>Regional (ap-south-1)</t>
        </is>
      </c>
      <c r="E9" s="6" t="n">
        <v>0.625</v>
      </c>
      <c r="F9" s="5" t="inlineStr">
        <is>
          <t>None for on-demand</t>
        </is>
      </c>
      <c r="G9" s="5" t="inlineStr">
        <is>
          <t>https://aws.amazon.com/dynamodb/pricing/on-demand/</t>
        </is>
      </c>
      <c r="H9" s="5" t="inlineStr">
        <is>
          <t>2026-10-04</t>
        </is>
      </c>
    </row>
    <row r="10">
      <c r="A10" s="5" t="inlineStr">
        <is>
          <t>DynamoDB</t>
        </is>
      </c>
      <c r="B10" s="5" t="inlineStr">
        <is>
          <t>On-Demand Read (RRU)</t>
        </is>
      </c>
      <c r="C10" s="5" t="inlineStr">
        <is>
          <t>Price per 1,000,000 RRU</t>
        </is>
      </c>
      <c r="D10" s="5" t="inlineStr">
        <is>
          <t>Regional (ap-south-1)</t>
        </is>
      </c>
      <c r="E10" s="6" t="n">
        <v>0.125</v>
      </c>
      <c r="F10" s="5" t="inlineStr">
        <is>
          <t>None for on-demand</t>
        </is>
      </c>
      <c r="G10" s="5" t="inlineStr">
        <is>
          <t>https://aws.amazon.com/dynamodb/pricing/on-demand/</t>
        </is>
      </c>
      <c r="H10" s="5" t="inlineStr">
        <is>
          <t>2026-10-04</t>
        </is>
      </c>
    </row>
    <row r="11">
      <c r="A11" s="5" t="inlineStr">
        <is>
          <t>Amazon S3</t>
        </is>
      </c>
      <c r="B11" s="5" t="inlineStr">
        <is>
          <t>S3 Standard Storage</t>
        </is>
      </c>
      <c r="C11" s="5" t="inlineStr">
        <is>
          <t>Price per GB-month</t>
        </is>
      </c>
      <c r="D11" s="5" t="inlineStr">
        <is>
          <t>Regional (ap-south-1)</t>
        </is>
      </c>
      <c r="E11" s="6" t="n">
        <v>0.023</v>
      </c>
      <c r="F11" s="5" t="inlineStr">
        <is>
          <t>5 GB Standard (12 mo)</t>
        </is>
      </c>
      <c r="G11" s="5" t="inlineStr">
        <is>
          <t>https://aws.amazon.com/s3/pricing/</t>
        </is>
      </c>
      <c r="H11" s="5" t="inlineStr">
        <is>
          <t>2026-10-04</t>
        </is>
      </c>
    </row>
    <row r="12">
      <c r="A12" s="5" t="inlineStr">
        <is>
          <t>Amazon S3</t>
        </is>
      </c>
      <c r="B12" s="5" t="inlineStr">
        <is>
          <t>PUT, COPY, POST Requests</t>
        </is>
      </c>
      <c r="C12" s="5" t="inlineStr">
        <is>
          <t>Price per 1,000 requests</t>
        </is>
      </c>
      <c r="D12" s="5" t="inlineStr">
        <is>
          <t>Regional (ap-south-1)</t>
        </is>
      </c>
      <c r="E12" s="27" t="n">
        <v>0.005</v>
      </c>
      <c r="F12" s="5" t="inlineStr">
        <is>
          <t>2,000 PUTs (12 mo)</t>
        </is>
      </c>
      <c r="G12" s="5" t="inlineStr">
        <is>
          <t>https://aws.amazon.com/s3/pricing/</t>
        </is>
      </c>
      <c r="H12" s="5" t="inlineStr">
        <is>
          <t>2026-10-04</t>
        </is>
      </c>
    </row>
    <row r="13">
      <c r="A13" s="5" t="inlineStr">
        <is>
          <t>Amazon S3</t>
        </is>
      </c>
      <c r="B13" s="5" t="inlineStr">
        <is>
          <t>GET, HEAD, SELECT Requests</t>
        </is>
      </c>
      <c r="C13" s="5" t="inlineStr">
        <is>
          <t>Price per 1,000 requests</t>
        </is>
      </c>
      <c r="D13" s="5" t="inlineStr">
        <is>
          <t>Regional (ap-south-1)</t>
        </is>
      </c>
      <c r="E13" s="27" t="n">
        <v>0.0004</v>
      </c>
      <c r="F13" s="5" t="inlineStr">
        <is>
          <t>20,000 GETs (12 mo)</t>
        </is>
      </c>
      <c r="G13" s="5" t="inlineStr">
        <is>
          <t>https://aws.amazon.com/s3/pricing/</t>
        </is>
      </c>
      <c r="H13" s="5" t="inlineStr">
        <is>
          <t>2026-10-04</t>
        </is>
      </c>
    </row>
    <row r="14">
      <c r="A14" s="5" t="inlineStr">
        <is>
          <t>Step Functions</t>
        </is>
      </c>
      <c r="B14" s="5" t="inlineStr">
        <is>
          <t>Standard State Transitions</t>
        </is>
      </c>
      <c r="C14" s="5" t="inlineStr">
        <is>
          <t>Price per 1,000 transitions</t>
        </is>
      </c>
      <c r="D14" s="5" t="inlineStr">
        <is>
          <t>Global</t>
        </is>
      </c>
      <c r="E14" s="6" t="n">
        <v>0.025</v>
      </c>
      <c r="F14" s="5" t="inlineStr">
        <is>
          <t>4,000 transitions (Always)</t>
        </is>
      </c>
      <c r="G14" s="5" t="inlineStr">
        <is>
          <t>https://aws.amazon.com/step-functions/pricing/</t>
        </is>
      </c>
      <c r="H14" s="5" t="inlineStr">
        <is>
          <t>2026-10-04</t>
        </is>
      </c>
    </row>
    <row r="15">
      <c r="A15" s="5" t="inlineStr">
        <is>
          <t>AWS KMS</t>
        </is>
      </c>
      <c r="B15" s="5" t="inlineStr">
        <is>
          <t>Customer Managed Key (CMK)</t>
        </is>
      </c>
      <c r="C15" s="5" t="inlineStr">
        <is>
          <t>Price per key per month</t>
        </is>
      </c>
      <c r="D15" s="5" t="inlineStr">
        <is>
          <t>Global</t>
        </is>
      </c>
      <c r="E15" s="6" t="n">
        <v>1</v>
      </c>
      <c r="F15" s="5" t="inlineStr">
        <is>
          <t>None for CMK</t>
        </is>
      </c>
      <c r="G15" s="5" t="inlineStr">
        <is>
          <t>https://aws.amazon.com/kms/pricing/</t>
        </is>
      </c>
      <c r="H15" s="5" t="inlineStr">
        <is>
          <t>2026-10-04</t>
        </is>
      </c>
    </row>
    <row r="16">
      <c r="A16" s="5" t="inlineStr">
        <is>
          <t>AWS KMS</t>
        </is>
      </c>
      <c r="B16" s="5" t="inlineStr">
        <is>
          <t>Cryptographic API Requests</t>
        </is>
      </c>
      <c r="C16" s="5" t="inlineStr">
        <is>
          <t>Price per 10,000 requests</t>
        </is>
      </c>
      <c r="D16" s="5" t="inlineStr">
        <is>
          <t>Global</t>
        </is>
      </c>
      <c r="E16" s="6" t="n">
        <v>0.03</v>
      </c>
      <c r="F16" s="5" t="inlineStr">
        <is>
          <t>20,000 requests/mo (Always)</t>
        </is>
      </c>
      <c r="G16" s="5" t="inlineStr">
        <is>
          <t>https://aws.amazon.com/kms/pricing/</t>
        </is>
      </c>
      <c r="H16" s="5" t="inlineStr">
        <is>
          <t>2026-10-04</t>
        </is>
      </c>
    </row>
    <row r="17">
      <c r="A17" s="5" t="inlineStr">
        <is>
          <t>Amazon Cognito</t>
        </is>
      </c>
      <c r="B17" s="5" t="inlineStr">
        <is>
          <t>User Pool MAUs (Lite Tier - Grandfathered)</t>
        </is>
      </c>
      <c r="C17" s="5" t="inlineStr">
        <is>
          <t>Price per MAU (after 50k free)</t>
        </is>
      </c>
      <c r="D17" s="5" t="inlineStr">
        <is>
          <t>Account-level / Usage-dependent</t>
        </is>
      </c>
      <c r="E17" s="27" t="n">
        <v>0.0055</v>
      </c>
      <c r="F17" s="5" t="inlineStr">
        <is>
          <t>50,000 MAUs (Eligible/Legacy)</t>
        </is>
      </c>
      <c r="G17" s="5" t="inlineStr">
        <is>
          <t>https://aws.amazon.com/cognito/pricing/</t>
        </is>
      </c>
      <c r="H17" s="5" t="inlineStr">
        <is>
          <t>2026-10-04</t>
        </is>
      </c>
    </row>
    <row r="18">
      <c r="A18" s="5" t="inlineStr">
        <is>
          <t>Amazon Cognito</t>
        </is>
      </c>
      <c r="B18" s="5" t="inlineStr">
        <is>
          <t>User Pool MAUs (Essentials Tier - Default)</t>
        </is>
      </c>
      <c r="C18" s="5" t="inlineStr">
        <is>
          <t>Price per MAU (after 10k free)</t>
        </is>
      </c>
      <c r="D18" s="5" t="inlineStr">
        <is>
          <t>Account-level / Usage-dependent</t>
        </is>
      </c>
      <c r="E18" s="6" t="n">
        <v>0.015</v>
      </c>
      <c r="F18" s="5" t="inlineStr">
        <is>
          <t>10,000 MAUs (Standard Always)</t>
        </is>
      </c>
      <c r="G18" s="5" t="inlineStr">
        <is>
          <t>https://aws.amazon.com/cognito/pricing/</t>
        </is>
      </c>
      <c r="H18" s="5" t="inlineStr">
        <is>
          <t>2026-10-04</t>
        </is>
      </c>
    </row>
    <row r="19">
      <c r="A19" s="5" t="inlineStr">
        <is>
          <t>Amazon SES</t>
        </is>
      </c>
      <c r="B19" s="5" t="inlineStr">
        <is>
          <t>Outbound Email</t>
        </is>
      </c>
      <c r="C19" s="5" t="inlineStr">
        <is>
          <t>Price per 1,000 emails</t>
        </is>
      </c>
      <c r="D19" s="5" t="inlineStr">
        <is>
          <t>Global</t>
        </is>
      </c>
      <c r="E19" s="6" t="n">
        <v>0.1</v>
      </c>
      <c r="F19" s="5" t="inlineStr">
        <is>
          <t>62,000 emails/mo from EC2</t>
        </is>
      </c>
      <c r="G19" s="5" t="inlineStr">
        <is>
          <t>https://aws.amazon.com/ses/pricing/</t>
        </is>
      </c>
      <c r="H19" s="5" t="inlineStr">
        <is>
          <t>2026-10-04</t>
        </is>
      </c>
    </row>
    <row r="20">
      <c r="A20" s="5" t="inlineStr">
        <is>
          <t>CloudWatch</t>
        </is>
      </c>
      <c r="B20" s="5" t="inlineStr">
        <is>
          <t>Log Ingestion (ap-south-1)</t>
        </is>
      </c>
      <c r="C20" s="5" t="inlineStr">
        <is>
          <t>Price per GB ingested</t>
        </is>
      </c>
      <c r="D20" s="5" t="inlineStr">
        <is>
          <t>Regional (ap-south-1)</t>
        </is>
      </c>
      <c r="E20" s="6" t="n">
        <v>0.5</v>
      </c>
      <c r="F20" s="5" t="inlineStr">
        <is>
          <t>5 GB ingestion (Always)</t>
        </is>
      </c>
      <c r="G20" s="5" t="inlineStr">
        <is>
          <t>https://aws.amazon.com/cloudwatch/pricing/</t>
        </is>
      </c>
      <c r="H20" s="5" t="inlineStr">
        <is>
          <t>2026-10-04</t>
        </is>
      </c>
    </row>
    <row r="21">
      <c r="A21" s="5" t="inlineStr">
        <is>
          <t>CloudWatch</t>
        </is>
      </c>
      <c r="B21" s="5" t="inlineStr">
        <is>
          <t>Metric Alarms</t>
        </is>
      </c>
      <c r="C21" s="5" t="inlineStr">
        <is>
          <t>Price per alarm per month</t>
        </is>
      </c>
      <c r="D21" s="5" t="inlineStr">
        <is>
          <t>Regional / Account-level</t>
        </is>
      </c>
      <c r="E21" s="6" t="n">
        <v>0.1</v>
      </c>
      <c r="F21" s="5" t="inlineStr">
        <is>
          <t>10 standard alarms (Always)</t>
        </is>
      </c>
      <c r="G21" s="5" t="inlineStr">
        <is>
          <t>https://aws.amazon.com/cloudwatch/pricing/</t>
        </is>
      </c>
      <c r="H21" s="5" t="inlineStr">
        <is>
          <t>2026-10-04</t>
        </is>
      </c>
    </row>
    <row r="22">
      <c r="A22" s="5" t="inlineStr">
        <is>
          <t>Amazon SNS</t>
        </is>
      </c>
      <c r="B22" s="5" t="inlineStr">
        <is>
          <t>Standard Topic Publishes</t>
        </is>
      </c>
      <c r="C22" s="5" t="inlineStr">
        <is>
          <t>Price per 1,000,000 publishes</t>
        </is>
      </c>
      <c r="D22" s="5" t="inlineStr">
        <is>
          <t>Global</t>
        </is>
      </c>
      <c r="E22" s="6" t="n">
        <v>0.5</v>
      </c>
      <c r="F22" s="5" t="inlineStr">
        <is>
          <t>1M publishes (Always)</t>
        </is>
      </c>
      <c r="G22" s="5" t="inlineStr">
        <is>
          <t>https://aws.amazon.com/sns/pricing/</t>
        </is>
      </c>
      <c r="H22" s="5" t="inlineStr">
        <is>
          <t>2026-10-04</t>
        </is>
      </c>
    </row>
    <row r="23">
      <c r="A23" s="5" t="inlineStr">
        <is>
          <t>Secrets Manager</t>
        </is>
      </c>
      <c r="B23" s="5" t="inlineStr">
        <is>
          <t>Secret Storage</t>
        </is>
      </c>
      <c r="C23" s="5" t="inlineStr">
        <is>
          <t>Price per secret per month</t>
        </is>
      </c>
      <c r="D23" s="5" t="inlineStr">
        <is>
          <t>Global</t>
        </is>
      </c>
      <c r="E23" s="6" t="n">
        <v>0.4</v>
      </c>
      <c r="F23" s="5" t="inlineStr">
        <is>
          <t>None</t>
        </is>
      </c>
      <c r="G23" s="5" t="inlineStr">
        <is>
          <t>https://aws.amazon.com/secrets-manager/pricing/</t>
        </is>
      </c>
      <c r="H23" s="5" t="inlineStr">
        <is>
          <t>2026-10-04</t>
        </is>
      </c>
    </row>
    <row r="24">
      <c r="A24" s="5" t="inlineStr">
        <is>
          <t>Secrets Manager</t>
        </is>
      </c>
      <c r="B24" s="5" t="inlineStr">
        <is>
          <t>API Calls</t>
        </is>
      </c>
      <c r="C24" s="5" t="inlineStr">
        <is>
          <t>Price per 10,000 API calls</t>
        </is>
      </c>
      <c r="D24" s="5" t="inlineStr">
        <is>
          <t>Global</t>
        </is>
      </c>
      <c r="E24" s="6" t="n">
        <v>0.05</v>
      </c>
      <c r="F24" s="5" t="inlineStr">
        <is>
          <t>None</t>
        </is>
      </c>
      <c r="G24" s="5" t="inlineStr">
        <is>
          <t>https://aws.amazon.com/secrets-manager/pricing/</t>
        </is>
      </c>
      <c r="H24" s="5" t="inlineStr">
        <is>
          <t>2026-10-04</t>
        </is>
      </c>
    </row>
    <row r="25">
      <c r="A25" s="5" t="inlineStr">
        <is>
          <t>Amazon SQS</t>
        </is>
      </c>
      <c r="B25" s="5" t="inlineStr">
        <is>
          <t>Standard Queue Requests</t>
        </is>
      </c>
      <c r="C25" s="5" t="inlineStr">
        <is>
          <t>Price per 1,000,000 requests</t>
        </is>
      </c>
      <c r="D25" s="5" t="inlineStr">
        <is>
          <t>Global</t>
        </is>
      </c>
      <c r="E25" s="6" t="n">
        <v>0.4</v>
      </c>
      <c r="F25" s="5" t="inlineStr">
        <is>
          <t>1M requests (Always)</t>
        </is>
      </c>
      <c r="G25" s="5" t="inlineStr">
        <is>
          <t>https://aws.amazon.com/sqs/pricing/</t>
        </is>
      </c>
      <c r="H25" s="5" t="inlineStr">
        <is>
          <t>2026-10-04</t>
        </is>
      </c>
    </row>
    <row r="26">
      <c r="A26" s="5" t="inlineStr">
        <is>
          <t>CloudFront</t>
        </is>
      </c>
      <c r="B26" s="5" t="inlineStr">
        <is>
          <t>Data Transfer Out (Internet)</t>
        </is>
      </c>
      <c r="C26" s="5" t="inlineStr">
        <is>
          <t>Price per GB (after 1 TB free)</t>
        </is>
      </c>
      <c r="D26" s="5" t="inlineStr">
        <is>
          <t>Regional / Usage-dependent</t>
        </is>
      </c>
      <c r="E26" s="6" t="n">
        <v>0.08500000000000001</v>
      </c>
      <c r="F26" s="5" t="inlineStr">
        <is>
          <t>1 TB / month (Always)</t>
        </is>
      </c>
      <c r="G26" s="5" t="inlineStr">
        <is>
          <t>https://aws.amazon.com/cloudfront/pricing/</t>
        </is>
      </c>
      <c r="H26" s="5" t="inlineStr">
        <is>
          <t>2026-10-04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9" customWidth="1" min="2" max="2"/>
    <col width="63" customWidth="1" min="3" max="3"/>
    <col width="205" customWidth="1" min="4" max="4"/>
  </cols>
  <sheetData>
    <row r="1">
      <c r="A1" s="1" t="inlineStr">
        <is>
          <t>Workload Modeling Assumptions &amp; Methodology</t>
        </is>
      </c>
    </row>
    <row r="2">
      <c r="A2" s="2" t="inlineStr">
        <is>
          <t>Standardized Parameters for 3-Tier Scaling Analysis across All 4 Projects</t>
        </is>
      </c>
    </row>
    <row r="3"/>
    <row r="4">
      <c r="A4" s="28" t="inlineStr">
        <is>
          <t>Category</t>
        </is>
      </c>
      <c r="B4" s="28" t="inlineStr">
        <is>
          <t>Assumption Parameter</t>
        </is>
      </c>
      <c r="C4" s="28" t="inlineStr">
        <is>
          <t>Standard Applied</t>
        </is>
      </c>
      <c r="D4" s="28" t="inlineStr">
        <is>
          <t>Engineering Justification / Evidence</t>
        </is>
      </c>
    </row>
    <row r="5">
      <c r="A5" s="5" t="inlineStr">
        <is>
          <t>Time Normalization</t>
        </is>
      </c>
      <c r="B5" s="5" t="inlineStr">
        <is>
          <t>Operating Month Duration</t>
        </is>
      </c>
      <c r="C5" s="5" t="inlineStr">
        <is>
          <t>30 Days (720 Hours)</t>
        </is>
      </c>
      <c r="D5" s="5" t="inlineStr">
        <is>
          <t>Industry standard monthly normalization for continuous cloud service billing.</t>
        </is>
      </c>
    </row>
    <row r="6">
      <c r="A6" s="5" t="inlineStr">
        <is>
          <t>Regional vs Global</t>
        </is>
      </c>
      <c r="B6" s="5" t="inlineStr">
        <is>
          <t>Pricing Geography Applicability</t>
        </is>
      </c>
      <c r="C6" s="5" t="inlineStr">
        <is>
          <t>Regional (ap-south-1) &amp; Global Explicitly Labeled</t>
        </is>
      </c>
      <c r="D6" s="5" t="inlineStr">
        <is>
          <t>Regional rates applied for API Gateway, S3, DynamoDB, CloudWatch Logs, Lambda compute; Global rates for KMS, Secrets Manager, SQS, SNS, SES, Step Functions.</t>
        </is>
      </c>
    </row>
    <row r="7">
      <c r="A7" s="5" t="inlineStr">
        <is>
          <t>Free Tier Policy</t>
        </is>
      </c>
      <c r="B7" s="5" t="inlineStr">
        <is>
          <t>Gross List-Price Baseline</t>
        </is>
      </c>
      <c r="C7" s="5" t="inlineStr">
        <is>
          <t>Gross list-price before account-level free-tier allowances</t>
        </is>
      </c>
      <c r="D7" s="5" t="inlineStr">
        <is>
          <t>Estimates represent standalone list costs. Account-level allowances (e.g. 10 free alarms, 5 GB free logs) are not double-counted across projects sharing an account.</t>
        </is>
      </c>
    </row>
    <row r="8">
      <c r="A8" s="5" t="inlineStr">
        <is>
          <t>Cognito Deployed Baseline</t>
        </is>
      </c>
      <c r="B8" s="5" t="inlineStr">
        <is>
          <t>Current Deployed Baseline — Cognito Essentials</t>
        </is>
      </c>
      <c r="C8" s="5" t="inlineStr">
        <is>
          <t>Essentials Tier ($0.015/MAU after 10,000 free MAUs)</t>
        </is>
      </c>
      <c r="D8" s="5" t="inlineStr">
        <is>
          <t>Project 2 live user pool actively runs on ESSENTIALS (verified via describe-user-pool: ap-south-1_LDOpZYY1U). Tier 2 adds $75.00/mo (Total $99.63); Tier 3 adds $2,100.00/mo (Total $2,315.90).</t>
        </is>
      </c>
    </row>
    <row r="9">
      <c r="A9" s="5" t="inlineStr">
        <is>
          <t>Cognito Optimization Scenario</t>
        </is>
      </c>
      <c r="B9" s="5" t="inlineStr">
        <is>
          <t>Cost-Optimized Alternative — Cognito Lite</t>
        </is>
      </c>
      <c r="C9" s="5" t="inlineStr">
        <is>
          <t>Lite Tier ($0.0055/MAU after 50,000 grandfathered free MAUs)</t>
        </is>
      </c>
      <c r="D9" s="5" t="inlineStr">
        <is>
          <t>Project 2 currently uses Cognito ESSENTIALS. The LITE figures are an architectural cost-optimization scenario, not the current deployed configuration. Under Lite, Tier 2 is $24.63 and Tier 3 is $765.90.</t>
        </is>
      </c>
    </row>
    <row r="10">
      <c r="A10" s="5" t="inlineStr">
        <is>
          <t>Lambda Execution</t>
        </is>
      </c>
      <c r="B10" s="5" t="inlineStr">
        <is>
          <t>Memory Allocation &amp; Duration</t>
        </is>
      </c>
      <c r="C10" s="5" t="inlineStr">
        <is>
          <t>Exact template configurations</t>
        </is>
      </c>
      <c r="D10" s="5" t="inlineStr">
        <is>
          <t>Project 1: 256MB / 200ms; Project 2: 256MB / 300ms; Project 3: 256MB / 150ms; Project 4: 1536MB / 2.5s (Extraction) &amp; 1.8s (NLP), 256MB / 200ms (Scoring).</t>
        </is>
      </c>
    </row>
    <row r="11">
      <c r="A11" s="5" t="inlineStr">
        <is>
          <t>S3 Object Sizes</t>
        </is>
      </c>
      <c r="B11" s="5" t="inlineStr">
        <is>
          <t>Document &amp; Resume Payloads</t>
        </is>
      </c>
      <c r="C11" s="5" t="inlineStr">
        <is>
          <t>1.0 MB - 2.0 MB / document</t>
        </is>
      </c>
      <c r="D11" s="5" t="inlineStr">
        <is>
          <t>Based on real-world employee PDF vaults, onboarding identity records, and candidate resume submissions.</t>
        </is>
      </c>
    </row>
    <row r="12">
      <c r="A12" s="5" t="inlineStr">
        <is>
          <t>DynamoDB Capacity</t>
        </is>
      </c>
      <c r="B12" s="5" t="inlineStr">
        <is>
          <t>Billing Mode</t>
        </is>
      </c>
      <c r="C12" s="5" t="inlineStr">
        <is>
          <t>PAY_PER_REQUEST (On-Demand)</t>
        </is>
      </c>
      <c r="D12" s="5" t="inlineStr">
        <is>
          <t>All tables in all 4 projects are configured with On-Demand billing to avoid idle provisioned capacity costs.</t>
        </is>
      </c>
    </row>
    <row r="13">
      <c r="A13" s="5" t="inlineStr">
        <is>
          <t>Step Functions</t>
        </is>
      </c>
      <c r="B13" s="5" t="inlineStr">
        <is>
          <t>Workflow Type</t>
        </is>
      </c>
      <c r="C13" s="5" t="inlineStr">
        <is>
          <t>Standard Workflows</t>
        </is>
      </c>
      <c r="D13" s="5" t="inlineStr">
        <is>
          <t>State machines use callback tokens and multi-day SLA timers, necessitating Standard (not Express) state machines.</t>
        </is>
      </c>
    </row>
    <row r="14">
      <c r="A14" s="5" t="inlineStr">
        <is>
          <t>API Gateway</t>
        </is>
      </c>
      <c r="B14" s="5" t="inlineStr">
        <is>
          <t>API Architecture</t>
        </is>
      </c>
      <c r="C14" s="5" t="inlineStr">
        <is>
          <t>Project 3: HTTP API; Projects 1, 2, 4: REST API</t>
        </is>
      </c>
      <c r="D14" s="5" t="inlineStr">
        <is>
          <t>Directly mirrors deployed CloudFormation resource types (AWS::Serverless::HttpApi vs AWS::Serverless::Api).</t>
        </is>
      </c>
    </row>
    <row r="15">
      <c r="A15" s="5" t="inlineStr">
        <is>
          <t>Security Baseline</t>
        </is>
      </c>
      <c r="B15" s="5" t="inlineStr">
        <is>
          <t>Encryption &amp; Key Management</t>
        </is>
      </c>
      <c r="C15" s="5" t="inlineStr">
        <is>
          <t>Dedicated KMS CMK &amp; Secrets Manager</t>
        </is>
      </c>
      <c r="D15" s="5" t="inlineStr">
        <is>
          <t>Project 1 utilizes an independent Customer Managed Key ($1/mo); Project 3 utilizes an explicit HMAC signing secret ($0.40/mo).</t>
        </is>
      </c>
    </row>
    <row r="16">
      <c r="A16" s="5" t="inlineStr">
        <is>
          <t>Monitoring &amp; Alarms</t>
        </is>
      </c>
      <c r="B16" s="5" t="inlineStr">
        <is>
          <t>Observability Cost</t>
        </is>
      </c>
      <c r="C16" s="5" t="inlineStr">
        <is>
          <t>$0.50/GB log ingestion + $0.10/alarm</t>
        </is>
      </c>
      <c r="D16" s="5" t="inlineStr">
        <is>
          <t>Standard CloudWatch pricing with log groups retained at 14 to 30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2026-10-04T03:42:20Z</dcterms:created>
  <dcterms:modified xsi:type="dcterms:W3CDTF">2026-10-04T03:42:20Z</dcterms:modified>
</cp:coreProperties>
</file>